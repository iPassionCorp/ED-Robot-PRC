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codeName="ThisWorkbook" checkCompatibility="1" defaultThemeVersion="124226"/>
  <mc:AlternateContent xmlns:mc="http://schemas.openxmlformats.org/markup-compatibility/2006">
    <mc:Choice Requires="x15">
      <x15ac:absPath xmlns:x15ac="http://schemas.microsoft.com/office/spreadsheetml/2010/11/ac" url="D:\iPassionCorp\ED-Robot-PRC\"/>
    </mc:Choice>
  </mc:AlternateContent>
  <xr:revisionPtr revIDLastSave="0" documentId="10_ncr:8100000_{3DD051F9-42C6-45C9-B3A8-92B6887AF6A0}" xr6:coauthVersionLast="34" xr6:coauthVersionMax="34" xr10:uidLastSave="{00000000-0000-0000-0000-000000000000}"/>
  <bookViews>
    <workbookView xWindow="1272" yWindow="216" windowWidth="18852" windowHeight="4596" tabRatio="916" firstSheet="6" activeTab="7" xr2:uid="{00000000-000D-0000-FFFF-FFFF00000000}"/>
  </bookViews>
  <sheets>
    <sheet name="Cover" sheetId="78" r:id="rId1"/>
    <sheet name="Document History" sheetId="56" r:id="rId2"/>
    <sheet name="Example" sheetId="15" state="hidden" r:id="rId3"/>
    <sheet name="Test Case" sheetId="2" r:id="rId4"/>
    <sheet name="Test Script Template" sheetId="6" r:id="rId5"/>
    <sheet name="TestStatusSummary" sheetId="58" r:id="rId6"/>
    <sheet name="Process" sheetId="113" r:id="rId7"/>
    <sheet name="ED_PRC_TC_00001" sheetId="105" r:id="rId8"/>
    <sheet name="ED_PRC_TC_00002" sheetId="106" r:id="rId9"/>
    <sheet name="ED_PRC_TC_00003" sheetId="107" r:id="rId10"/>
    <sheet name="ED_PRC_TC_00004" sheetId="108" r:id="rId11"/>
    <sheet name="ED_PRC_TC_00005" sheetId="109" r:id="rId12"/>
    <sheet name="ED_PRC_TC_00006" sheetId="110" r:id="rId13"/>
    <sheet name="ED_PRC_TC_00007" sheetId="111" r:id="rId14"/>
    <sheet name="ED_PRC_TC_00008" sheetId="112" r:id="rId15"/>
    <sheet name="ED_PRC_TC_00009" sheetId="119" r:id="rId16"/>
    <sheet name="ED_PRC_TC_00010" sheetId="122" r:id="rId17"/>
    <sheet name="ED_PRC_TC_00011" sheetId="123" r:id="rId18"/>
    <sheet name="ED_PRC_TC_00012" sheetId="124" r:id="rId19"/>
  </sheets>
  <definedNames>
    <definedName name="_xlnm._FilterDatabase" localSheetId="3" hidden="1">'Test Case'!#REF!</definedName>
    <definedName name="_xlnm._FilterDatabase" localSheetId="5" hidden="1">TestStatusSummary!#REF!</definedName>
    <definedName name="AppName" localSheetId="7">#REF!</definedName>
    <definedName name="AppName" localSheetId="8">#REF!</definedName>
    <definedName name="AppName" localSheetId="9">#REF!</definedName>
    <definedName name="AppName" localSheetId="10">#REF!</definedName>
    <definedName name="AppName" localSheetId="11">#REF!</definedName>
    <definedName name="AppName" localSheetId="12">#REF!</definedName>
    <definedName name="AppName" localSheetId="13">#REF!</definedName>
    <definedName name="AppName" localSheetId="14">#REF!</definedName>
    <definedName name="AppName" localSheetId="15">#REF!</definedName>
    <definedName name="AppName" localSheetId="16">#REF!</definedName>
    <definedName name="AppName" localSheetId="17">#REF!</definedName>
    <definedName name="AppName" localSheetId="18">#REF!</definedName>
    <definedName name="AppName">#REF!</definedName>
    <definedName name="Func_Module" localSheetId="7">#REF!</definedName>
    <definedName name="Func_Module" localSheetId="8">#REF!</definedName>
    <definedName name="Func_Module" localSheetId="9">#REF!</definedName>
    <definedName name="Func_Module" localSheetId="10">#REF!</definedName>
    <definedName name="Func_Module" localSheetId="11">#REF!</definedName>
    <definedName name="Func_Module" localSheetId="12">#REF!</definedName>
    <definedName name="Func_Module" localSheetId="13">#REF!</definedName>
    <definedName name="Func_Module" localSheetId="14">#REF!</definedName>
    <definedName name="Func_Module" localSheetId="15">#REF!</definedName>
    <definedName name="Func_Module" localSheetId="16">#REF!</definedName>
    <definedName name="Func_Module" localSheetId="17">#REF!</definedName>
    <definedName name="Func_Module" localSheetId="18">#REF!</definedName>
    <definedName name="Func_Module">#REF!</definedName>
    <definedName name="TESTPHASE" localSheetId="7">#REF!</definedName>
    <definedName name="TESTPHASE" localSheetId="8">#REF!</definedName>
    <definedName name="TESTPHASE" localSheetId="9">#REF!</definedName>
    <definedName name="TESTPHASE" localSheetId="10">#REF!</definedName>
    <definedName name="TESTPHASE" localSheetId="11">#REF!</definedName>
    <definedName name="TESTPHASE" localSheetId="12">#REF!</definedName>
    <definedName name="TESTPHASE" localSheetId="13">#REF!</definedName>
    <definedName name="TESTPHASE" localSheetId="14">#REF!</definedName>
    <definedName name="TESTPHASE" localSheetId="15">#REF!</definedName>
    <definedName name="TESTPHASE" localSheetId="16">#REF!</definedName>
    <definedName name="TESTPHASE" localSheetId="17">#REF!</definedName>
    <definedName name="TESTPHASE" localSheetId="18">#REF!</definedName>
    <definedName name="TESTPHASE">#REF!</definedName>
  </definedNames>
  <calcPr calcId="162913"/>
</workbook>
</file>

<file path=xl/calcChain.xml><?xml version="1.0" encoding="utf-8"?>
<calcChain xmlns="http://schemas.openxmlformats.org/spreadsheetml/2006/main">
  <c r="D44" i="124" l="1"/>
  <c r="C44" i="124"/>
  <c r="B44" i="124"/>
  <c r="A44" i="124"/>
  <c r="D43" i="124"/>
  <c r="C43" i="124"/>
  <c r="B43" i="124"/>
  <c r="A43" i="124"/>
  <c r="D39" i="124"/>
  <c r="C39" i="124"/>
  <c r="B39" i="124"/>
  <c r="A39" i="124"/>
  <c r="D38" i="124"/>
  <c r="C38" i="124"/>
  <c r="B38" i="124"/>
  <c r="A38" i="124"/>
  <c r="D37" i="124"/>
  <c r="C37" i="124"/>
  <c r="B37" i="124"/>
  <c r="A37" i="124"/>
  <c r="D36" i="124"/>
  <c r="C36" i="124"/>
  <c r="B36" i="124"/>
  <c r="A36" i="124"/>
  <c r="D35" i="124"/>
  <c r="C35" i="124"/>
  <c r="B35" i="124"/>
  <c r="A35" i="124"/>
  <c r="D34" i="124"/>
  <c r="C34" i="124"/>
  <c r="B34" i="124"/>
  <c r="A34" i="124"/>
  <c r="D33" i="124"/>
  <c r="C33" i="124"/>
  <c r="B33" i="124"/>
  <c r="A33" i="124"/>
  <c r="D32" i="124"/>
  <c r="C32" i="124"/>
  <c r="B32" i="124"/>
  <c r="A32" i="124"/>
  <c r="D31" i="124"/>
  <c r="C31" i="124"/>
  <c r="B31" i="124"/>
  <c r="A31" i="124"/>
  <c r="D30" i="124"/>
  <c r="C30" i="124"/>
  <c r="B30" i="124"/>
  <c r="A30" i="124"/>
  <c r="D29" i="124"/>
  <c r="C29" i="124"/>
  <c r="B29" i="124"/>
  <c r="A29" i="124"/>
  <c r="D28" i="124"/>
  <c r="C28" i="124"/>
  <c r="B28" i="124"/>
  <c r="A28" i="124"/>
  <c r="D27" i="124"/>
  <c r="C27" i="124"/>
  <c r="B27" i="124"/>
  <c r="A27" i="124"/>
  <c r="D26" i="124"/>
  <c r="C26" i="124"/>
  <c r="B26" i="124"/>
  <c r="A26" i="124"/>
  <c r="D25" i="124"/>
  <c r="C25" i="124"/>
  <c r="B25" i="124"/>
  <c r="A25" i="124"/>
  <c r="D24" i="124"/>
  <c r="C24" i="124"/>
  <c r="B24" i="124"/>
  <c r="A24" i="124"/>
  <c r="D23" i="124"/>
  <c r="C23" i="124"/>
  <c r="B23" i="124"/>
  <c r="A23" i="124"/>
  <c r="D22" i="124"/>
  <c r="C22" i="124"/>
  <c r="B22" i="124"/>
  <c r="A22" i="124"/>
  <c r="D21" i="124"/>
  <c r="C21" i="124"/>
  <c r="B21" i="124"/>
  <c r="A21" i="124"/>
  <c r="D20" i="124"/>
  <c r="C20" i="124"/>
  <c r="B20" i="124"/>
  <c r="A20" i="124"/>
  <c r="D19" i="124"/>
  <c r="C19" i="124"/>
  <c r="B19" i="124"/>
  <c r="A19" i="124"/>
  <c r="D18" i="124"/>
  <c r="C18" i="124"/>
  <c r="B18" i="124"/>
  <c r="A18" i="124"/>
  <c r="D17" i="124"/>
  <c r="C17" i="124"/>
  <c r="B17" i="124"/>
  <c r="A17" i="124"/>
  <c r="N12" i="124"/>
  <c r="M12" i="124"/>
  <c r="L12" i="124"/>
  <c r="E12" i="124"/>
  <c r="G11" i="124"/>
  <c r="L7" i="124" s="1"/>
  <c r="G3" i="124"/>
  <c r="D42" i="123"/>
  <c r="C42" i="123"/>
  <c r="B42" i="123"/>
  <c r="A42" i="123"/>
  <c r="D39" i="123"/>
  <c r="C39" i="123"/>
  <c r="B39" i="123"/>
  <c r="A39" i="123"/>
  <c r="D38" i="123"/>
  <c r="C38" i="123"/>
  <c r="B38" i="123"/>
  <c r="A38" i="123"/>
  <c r="D37" i="123"/>
  <c r="C37" i="123"/>
  <c r="B37" i="123"/>
  <c r="A37" i="123"/>
  <c r="D36" i="123"/>
  <c r="C36" i="123"/>
  <c r="B36" i="123"/>
  <c r="A36" i="123"/>
  <c r="D35" i="123"/>
  <c r="C35" i="123"/>
  <c r="B35" i="123"/>
  <c r="A35" i="123"/>
  <c r="D34" i="123"/>
  <c r="C34" i="123"/>
  <c r="B34" i="123"/>
  <c r="A34" i="123"/>
  <c r="D33" i="123"/>
  <c r="C33" i="123"/>
  <c r="B33" i="123"/>
  <c r="A33" i="123"/>
  <c r="D32" i="123"/>
  <c r="C32" i="123"/>
  <c r="B32" i="123"/>
  <c r="A32" i="123"/>
  <c r="D31" i="123"/>
  <c r="C31" i="123"/>
  <c r="B31" i="123"/>
  <c r="A31" i="123"/>
  <c r="D30" i="123"/>
  <c r="C30" i="123"/>
  <c r="B30" i="123"/>
  <c r="A30" i="123"/>
  <c r="D29" i="123"/>
  <c r="C29" i="123"/>
  <c r="B29" i="123"/>
  <c r="A29" i="123"/>
  <c r="D28" i="123"/>
  <c r="C28" i="123"/>
  <c r="B28" i="123"/>
  <c r="A28" i="123"/>
  <c r="D27" i="123"/>
  <c r="C27" i="123"/>
  <c r="B27" i="123"/>
  <c r="A27" i="123"/>
  <c r="D26" i="123"/>
  <c r="C26" i="123"/>
  <c r="B26" i="123"/>
  <c r="A26" i="123"/>
  <c r="D25" i="123"/>
  <c r="C25" i="123"/>
  <c r="B25" i="123"/>
  <c r="A25" i="123"/>
  <c r="D24" i="123"/>
  <c r="C24" i="123"/>
  <c r="B24" i="123"/>
  <c r="A24" i="123"/>
  <c r="D23" i="123"/>
  <c r="C23" i="123"/>
  <c r="B23" i="123"/>
  <c r="A23" i="123"/>
  <c r="D22" i="123"/>
  <c r="C22" i="123"/>
  <c r="B22" i="123"/>
  <c r="A22" i="123"/>
  <c r="D21" i="123"/>
  <c r="C21" i="123"/>
  <c r="B21" i="123"/>
  <c r="A21" i="123"/>
  <c r="D20" i="123"/>
  <c r="C20" i="123"/>
  <c r="B20" i="123"/>
  <c r="A20" i="123"/>
  <c r="D19" i="123"/>
  <c r="C19" i="123"/>
  <c r="B19" i="123"/>
  <c r="A19" i="123"/>
  <c r="D18" i="123"/>
  <c r="C18" i="123"/>
  <c r="B18" i="123"/>
  <c r="A18" i="123"/>
  <c r="D17" i="123"/>
  <c r="C17" i="123"/>
  <c r="B17" i="123"/>
  <c r="A17" i="123"/>
  <c r="D15" i="123"/>
  <c r="C15" i="123"/>
  <c r="B15" i="123"/>
  <c r="A15" i="123"/>
  <c r="N12" i="123"/>
  <c r="M12" i="123"/>
  <c r="L12" i="123"/>
  <c r="E12" i="123"/>
  <c r="G11" i="123"/>
  <c r="L7" i="123" s="1"/>
  <c r="G3" i="123"/>
  <c r="D44" i="122"/>
  <c r="C44" i="122"/>
  <c r="B44" i="122"/>
  <c r="A44" i="122"/>
  <c r="D41" i="122"/>
  <c r="C41" i="122"/>
  <c r="B41" i="122"/>
  <c r="A41" i="122"/>
  <c r="D40" i="122"/>
  <c r="C40" i="122"/>
  <c r="B40" i="122"/>
  <c r="A40" i="122"/>
  <c r="D39" i="122"/>
  <c r="C39" i="122"/>
  <c r="B39" i="122"/>
  <c r="A39" i="122"/>
  <c r="D38" i="122"/>
  <c r="C38" i="122"/>
  <c r="B38" i="122"/>
  <c r="A38" i="122"/>
  <c r="D37" i="122"/>
  <c r="C37" i="122"/>
  <c r="B37" i="122"/>
  <c r="A37" i="122"/>
  <c r="D36" i="122"/>
  <c r="C36" i="122"/>
  <c r="B36" i="122"/>
  <c r="A36" i="122"/>
  <c r="D35" i="122"/>
  <c r="C35" i="122"/>
  <c r="B35" i="122"/>
  <c r="A35" i="122"/>
  <c r="D34" i="122"/>
  <c r="C34" i="122"/>
  <c r="B34" i="122"/>
  <c r="A34" i="122"/>
  <c r="D33" i="122"/>
  <c r="C33" i="122"/>
  <c r="B33" i="122"/>
  <c r="A33" i="122"/>
  <c r="D32" i="122"/>
  <c r="C32" i="122"/>
  <c r="B32" i="122"/>
  <c r="A32" i="122"/>
  <c r="D31" i="122"/>
  <c r="C31" i="122"/>
  <c r="B31" i="122"/>
  <c r="A31" i="122"/>
  <c r="D30" i="122"/>
  <c r="C30" i="122"/>
  <c r="B30" i="122"/>
  <c r="A30" i="122"/>
  <c r="D29" i="122"/>
  <c r="C29" i="122"/>
  <c r="B29" i="122"/>
  <c r="A29" i="122"/>
  <c r="D28" i="122"/>
  <c r="C28" i="122"/>
  <c r="B28" i="122"/>
  <c r="A28" i="122"/>
  <c r="D27" i="122"/>
  <c r="C27" i="122"/>
  <c r="B27" i="122"/>
  <c r="A27" i="122"/>
  <c r="D25" i="122"/>
  <c r="C25" i="122"/>
  <c r="B25" i="122"/>
  <c r="A25" i="122"/>
  <c r="D24" i="122"/>
  <c r="C24" i="122"/>
  <c r="B24" i="122"/>
  <c r="A24" i="122"/>
  <c r="D23" i="122"/>
  <c r="C23" i="122"/>
  <c r="B23" i="122"/>
  <c r="A23" i="122"/>
  <c r="D22" i="122"/>
  <c r="C22" i="122"/>
  <c r="B22" i="122"/>
  <c r="A22" i="122"/>
  <c r="D20" i="122"/>
  <c r="C20" i="122"/>
  <c r="B20" i="122"/>
  <c r="A20" i="122"/>
  <c r="D19" i="122"/>
  <c r="C19" i="122"/>
  <c r="B19" i="122"/>
  <c r="A19" i="122"/>
  <c r="D18" i="122"/>
  <c r="C18" i="122"/>
  <c r="B18" i="122"/>
  <c r="A18" i="122"/>
  <c r="D17" i="122"/>
  <c r="C17" i="122"/>
  <c r="B17" i="122"/>
  <c r="A17" i="122"/>
  <c r="D15" i="122"/>
  <c r="C15" i="122"/>
  <c r="B15" i="122"/>
  <c r="A15" i="122"/>
  <c r="N12" i="122"/>
  <c r="M12" i="122"/>
  <c r="L12" i="122"/>
  <c r="E12" i="122"/>
  <c r="G11" i="122"/>
  <c r="L7" i="122" s="1"/>
  <c r="G3" i="122"/>
  <c r="G11" i="119" l="1"/>
  <c r="L7" i="119" s="1"/>
  <c r="D21" i="119"/>
  <c r="C21" i="119"/>
  <c r="B21" i="119"/>
  <c r="A21" i="119"/>
  <c r="D19" i="119"/>
  <c r="C19" i="119"/>
  <c r="B19" i="119"/>
  <c r="A19" i="119"/>
  <c r="D18" i="119"/>
  <c r="C18" i="119"/>
  <c r="B18" i="119"/>
  <c r="A18" i="119"/>
  <c r="D17" i="119"/>
  <c r="C17" i="119"/>
  <c r="B17" i="119"/>
  <c r="A17" i="119"/>
  <c r="D15" i="119"/>
  <c r="C15" i="119"/>
  <c r="B15" i="119"/>
  <c r="A15" i="119"/>
  <c r="N12" i="119"/>
  <c r="M12" i="119"/>
  <c r="L12" i="119"/>
  <c r="E12" i="119"/>
  <c r="G3" i="119"/>
  <c r="N12" i="108" l="1"/>
  <c r="M12" i="108"/>
  <c r="L12" i="108"/>
  <c r="G11" i="108"/>
  <c r="E12" i="108"/>
  <c r="D72" i="108"/>
  <c r="C72" i="108"/>
  <c r="B72" i="108"/>
  <c r="A72" i="108"/>
  <c r="D69" i="108"/>
  <c r="C69" i="108"/>
  <c r="B69" i="108"/>
  <c r="A69" i="108"/>
  <c r="D63" i="108"/>
  <c r="C63" i="108"/>
  <c r="B63" i="108"/>
  <c r="A63" i="108"/>
  <c r="D62" i="108"/>
  <c r="C62" i="108"/>
  <c r="B62" i="108"/>
  <c r="A62" i="108"/>
  <c r="D61" i="108"/>
  <c r="C61" i="108"/>
  <c r="B61" i="108"/>
  <c r="A61" i="108"/>
  <c r="D50" i="108"/>
  <c r="C50" i="108"/>
  <c r="B50" i="108"/>
  <c r="A50" i="108"/>
  <c r="D48" i="108"/>
  <c r="C48" i="108"/>
  <c r="B48" i="108"/>
  <c r="A48" i="108"/>
  <c r="D47" i="108"/>
  <c r="C47" i="108"/>
  <c r="B47" i="108"/>
  <c r="A47" i="108"/>
  <c r="D44" i="108"/>
  <c r="C44" i="108"/>
  <c r="B44" i="108"/>
  <c r="A44" i="108"/>
  <c r="D43" i="108"/>
  <c r="C43" i="108"/>
  <c r="B43" i="108"/>
  <c r="A43" i="108"/>
  <c r="D42" i="108"/>
  <c r="C42" i="108"/>
  <c r="B42" i="108"/>
  <c r="A42" i="108"/>
  <c r="D41" i="108"/>
  <c r="C41" i="108"/>
  <c r="B41" i="108"/>
  <c r="A41" i="108"/>
  <c r="D26" i="108"/>
  <c r="C26" i="108"/>
  <c r="B26" i="108"/>
  <c r="A26" i="108"/>
  <c r="D25" i="108"/>
  <c r="C25" i="108"/>
  <c r="B25" i="108"/>
  <c r="A25" i="108"/>
  <c r="D24" i="108"/>
  <c r="C24" i="108"/>
  <c r="B24" i="108"/>
  <c r="A24" i="108"/>
  <c r="D23" i="108"/>
  <c r="C23" i="108"/>
  <c r="B23" i="108"/>
  <c r="A23" i="108"/>
  <c r="D22" i="108"/>
  <c r="C22" i="108"/>
  <c r="B22" i="108"/>
  <c r="A22" i="108"/>
  <c r="D21" i="108"/>
  <c r="C21" i="108"/>
  <c r="B21" i="108"/>
  <c r="A21" i="108"/>
  <c r="D20" i="108"/>
  <c r="C20" i="108"/>
  <c r="B20" i="108"/>
  <c r="A20" i="108"/>
  <c r="D19" i="108"/>
  <c r="C19" i="108"/>
  <c r="B19" i="108"/>
  <c r="A19" i="108"/>
  <c r="D15" i="108"/>
  <c r="C15" i="108"/>
  <c r="B15" i="108"/>
  <c r="A15" i="108"/>
  <c r="D37" i="107"/>
  <c r="C37" i="107"/>
  <c r="B37" i="107"/>
  <c r="A37" i="107"/>
  <c r="D23" i="107"/>
  <c r="C23" i="107"/>
  <c r="B23" i="107"/>
  <c r="A23" i="107"/>
  <c r="D21" i="107"/>
  <c r="C21" i="107"/>
  <c r="B21" i="107"/>
  <c r="A21" i="107"/>
  <c r="D18" i="107"/>
  <c r="C18" i="107"/>
  <c r="B18" i="107"/>
  <c r="A18" i="107"/>
  <c r="D15" i="107"/>
  <c r="C15" i="107"/>
  <c r="B15" i="107"/>
  <c r="A15" i="107"/>
  <c r="N12" i="106"/>
  <c r="M12" i="106"/>
  <c r="L12" i="106"/>
  <c r="G11" i="106"/>
  <c r="E12" i="106"/>
  <c r="D44" i="106"/>
  <c r="C44" i="106"/>
  <c r="B44" i="106"/>
  <c r="A44" i="106"/>
  <c r="D41" i="106"/>
  <c r="C41" i="106"/>
  <c r="B41" i="106"/>
  <c r="A41" i="106"/>
  <c r="D35" i="106"/>
  <c r="C35" i="106"/>
  <c r="B35" i="106"/>
  <c r="A35" i="106"/>
  <c r="D34" i="106"/>
  <c r="C34" i="106"/>
  <c r="B34" i="106"/>
  <c r="A34" i="106"/>
  <c r="D33" i="106"/>
  <c r="C33" i="106"/>
  <c r="B33" i="106"/>
  <c r="A33" i="106"/>
  <c r="D29" i="106"/>
  <c r="C29" i="106"/>
  <c r="B29" i="106"/>
  <c r="A29" i="106"/>
  <c r="D28" i="106"/>
  <c r="C28" i="106"/>
  <c r="B28" i="106"/>
  <c r="A28" i="106"/>
  <c r="D27" i="106"/>
  <c r="C27" i="106"/>
  <c r="B27" i="106"/>
  <c r="A27" i="106"/>
  <c r="D26" i="106"/>
  <c r="C26" i="106"/>
  <c r="B26" i="106"/>
  <c r="A26" i="106"/>
  <c r="D25" i="106"/>
  <c r="C25" i="106"/>
  <c r="B25" i="106"/>
  <c r="A25" i="106"/>
  <c r="D24" i="106"/>
  <c r="C24" i="106"/>
  <c r="B24" i="106"/>
  <c r="A24" i="106"/>
  <c r="D23" i="106"/>
  <c r="C23" i="106"/>
  <c r="B23" i="106"/>
  <c r="A23" i="106"/>
  <c r="D22" i="106"/>
  <c r="C22" i="106"/>
  <c r="B22" i="106"/>
  <c r="A22" i="106"/>
  <c r="D21" i="106"/>
  <c r="C21" i="106"/>
  <c r="B21" i="106"/>
  <c r="A21" i="106"/>
  <c r="D20" i="106"/>
  <c r="C20" i="106"/>
  <c r="B20" i="106"/>
  <c r="A20" i="106"/>
  <c r="D19" i="106"/>
  <c r="C19" i="106"/>
  <c r="B19" i="106"/>
  <c r="A19" i="106"/>
  <c r="D18" i="106"/>
  <c r="C18" i="106"/>
  <c r="B18" i="106"/>
  <c r="A18" i="106"/>
  <c r="D17" i="106"/>
  <c r="C17" i="106"/>
  <c r="B17" i="106"/>
  <c r="A17" i="106"/>
  <c r="D15" i="106"/>
  <c r="C15" i="106"/>
  <c r="B15" i="106"/>
  <c r="A15" i="106"/>
  <c r="D36" i="105"/>
  <c r="C36" i="105"/>
  <c r="B36" i="105"/>
  <c r="A36" i="105"/>
  <c r="D21" i="105"/>
  <c r="C21" i="105"/>
  <c r="B21" i="105"/>
  <c r="A21" i="105"/>
  <c r="D19" i="105"/>
  <c r="C19" i="105"/>
  <c r="B19" i="105"/>
  <c r="A19" i="105"/>
  <c r="D15" i="105"/>
  <c r="C15" i="105"/>
  <c r="B15" i="105"/>
  <c r="A15" i="105"/>
  <c r="N12" i="112" l="1"/>
  <c r="M12" i="112"/>
  <c r="L12" i="112"/>
  <c r="G11" i="112"/>
  <c r="E12" i="112"/>
  <c r="N12" i="110"/>
  <c r="M12" i="110"/>
  <c r="L12" i="110"/>
  <c r="E12" i="110"/>
  <c r="G11" i="110"/>
  <c r="D36" i="111" l="1"/>
  <c r="C36" i="111"/>
  <c r="B36" i="111"/>
  <c r="A36" i="111"/>
  <c r="D23" i="111"/>
  <c r="C23" i="111"/>
  <c r="B23" i="111"/>
  <c r="A23" i="111"/>
  <c r="D21" i="111"/>
  <c r="C21" i="111"/>
  <c r="B21" i="111"/>
  <c r="A21" i="111"/>
  <c r="D18" i="111"/>
  <c r="C18" i="111"/>
  <c r="B18" i="111"/>
  <c r="A18" i="111"/>
  <c r="D16" i="111"/>
  <c r="C16" i="111"/>
  <c r="B16" i="111"/>
  <c r="A16" i="111"/>
  <c r="D35" i="109"/>
  <c r="C35" i="109"/>
  <c r="B35" i="109"/>
  <c r="A35" i="109"/>
  <c r="D22" i="109"/>
  <c r="C22" i="109"/>
  <c r="B22" i="109"/>
  <c r="A22" i="109"/>
  <c r="D20" i="109"/>
  <c r="C20" i="109"/>
  <c r="B20" i="109"/>
  <c r="A20" i="109"/>
  <c r="D18" i="109"/>
  <c r="C18" i="109"/>
  <c r="B18" i="109"/>
  <c r="A18" i="109"/>
  <c r="D16" i="109"/>
  <c r="C16" i="109"/>
  <c r="B16" i="109"/>
  <c r="A16" i="109"/>
  <c r="E12" i="105"/>
  <c r="D44" i="112" l="1"/>
  <c r="C44" i="112"/>
  <c r="B44" i="112"/>
  <c r="A44" i="112"/>
  <c r="D43" i="112"/>
  <c r="C43" i="112"/>
  <c r="B43" i="112"/>
  <c r="A43" i="112"/>
  <c r="D39" i="112"/>
  <c r="C39" i="112"/>
  <c r="B39" i="112"/>
  <c r="A39" i="112"/>
  <c r="D38" i="112"/>
  <c r="C38" i="112"/>
  <c r="B38" i="112"/>
  <c r="A38" i="112"/>
  <c r="D37" i="112"/>
  <c r="C37" i="112"/>
  <c r="B37" i="112"/>
  <c r="A37" i="112"/>
  <c r="D36" i="112"/>
  <c r="C36" i="112"/>
  <c r="B36" i="112"/>
  <c r="A36" i="112"/>
  <c r="D35" i="112"/>
  <c r="C35" i="112"/>
  <c r="B35" i="112"/>
  <c r="A35" i="112"/>
  <c r="D34" i="112"/>
  <c r="C34" i="112"/>
  <c r="B34" i="112"/>
  <c r="A34" i="112"/>
  <c r="D33" i="112"/>
  <c r="C33" i="112"/>
  <c r="B33" i="112"/>
  <c r="A33" i="112"/>
  <c r="D32" i="112"/>
  <c r="C32" i="112"/>
  <c r="B32" i="112"/>
  <c r="A32" i="112"/>
  <c r="D31" i="112"/>
  <c r="C31" i="112"/>
  <c r="B31" i="112"/>
  <c r="A31" i="112"/>
  <c r="D30" i="112"/>
  <c r="C30" i="112"/>
  <c r="B30" i="112"/>
  <c r="A30" i="112"/>
  <c r="D29" i="112"/>
  <c r="C29" i="112"/>
  <c r="B29" i="112"/>
  <c r="A29" i="112"/>
  <c r="D28" i="112"/>
  <c r="C28" i="112"/>
  <c r="B28" i="112"/>
  <c r="A28" i="112"/>
  <c r="D27" i="112"/>
  <c r="C27" i="112"/>
  <c r="B27" i="112"/>
  <c r="A27" i="112"/>
  <c r="D26" i="112"/>
  <c r="C26" i="112"/>
  <c r="B26" i="112"/>
  <c r="A26" i="112"/>
  <c r="D25" i="112"/>
  <c r="C25" i="112"/>
  <c r="B25" i="112"/>
  <c r="A25" i="112"/>
  <c r="D24" i="112"/>
  <c r="C24" i="112"/>
  <c r="B24" i="112"/>
  <c r="A24" i="112"/>
  <c r="D23" i="112"/>
  <c r="C23" i="112"/>
  <c r="B23" i="112"/>
  <c r="A23" i="112"/>
  <c r="D22" i="112"/>
  <c r="C22" i="112"/>
  <c r="B22" i="112"/>
  <c r="A22" i="112"/>
  <c r="D21" i="112"/>
  <c r="C21" i="112"/>
  <c r="B21" i="112"/>
  <c r="A21" i="112"/>
  <c r="D20" i="112"/>
  <c r="C20" i="112"/>
  <c r="B20" i="112"/>
  <c r="A20" i="112"/>
  <c r="D19" i="112"/>
  <c r="C19" i="112"/>
  <c r="B19" i="112"/>
  <c r="A19" i="112"/>
  <c r="D18" i="112"/>
  <c r="C18" i="112"/>
  <c r="B18" i="112"/>
  <c r="A18" i="112"/>
  <c r="D17" i="112"/>
  <c r="C17" i="112"/>
  <c r="B17" i="112"/>
  <c r="A17" i="112"/>
  <c r="D15" i="112"/>
  <c r="C15" i="112"/>
  <c r="B15" i="112"/>
  <c r="A15" i="112"/>
  <c r="L7" i="112"/>
  <c r="G3" i="112"/>
  <c r="N12" i="111"/>
  <c r="M12" i="111"/>
  <c r="L12" i="111"/>
  <c r="E12" i="111"/>
  <c r="G11" i="111"/>
  <c r="L7" i="111" s="1"/>
  <c r="G3" i="111"/>
  <c r="D44" i="110"/>
  <c r="C44" i="110"/>
  <c r="B44" i="110"/>
  <c r="A44" i="110"/>
  <c r="D43" i="110"/>
  <c r="C43" i="110"/>
  <c r="B43" i="110"/>
  <c r="A43" i="110"/>
  <c r="D39" i="110"/>
  <c r="C39" i="110"/>
  <c r="B39" i="110"/>
  <c r="A39" i="110"/>
  <c r="D38" i="110"/>
  <c r="C38" i="110"/>
  <c r="B38" i="110"/>
  <c r="A38" i="110"/>
  <c r="D37" i="110"/>
  <c r="C37" i="110"/>
  <c r="B37" i="110"/>
  <c r="A37" i="110"/>
  <c r="D36" i="110"/>
  <c r="C36" i="110"/>
  <c r="B36" i="110"/>
  <c r="A36" i="110"/>
  <c r="D35" i="110"/>
  <c r="C35" i="110"/>
  <c r="B35" i="110"/>
  <c r="A35" i="110"/>
  <c r="D34" i="110"/>
  <c r="C34" i="110"/>
  <c r="B34" i="110"/>
  <c r="A34" i="110"/>
  <c r="D33" i="110"/>
  <c r="C33" i="110"/>
  <c r="B33" i="110"/>
  <c r="A33" i="110"/>
  <c r="D32" i="110"/>
  <c r="C32" i="110"/>
  <c r="B32" i="110"/>
  <c r="A32" i="110"/>
  <c r="D31" i="110"/>
  <c r="C31" i="110"/>
  <c r="B31" i="110"/>
  <c r="A31" i="110"/>
  <c r="D30" i="110"/>
  <c r="C30" i="110"/>
  <c r="B30" i="110"/>
  <c r="A30" i="110"/>
  <c r="D29" i="110"/>
  <c r="C29" i="110"/>
  <c r="B29" i="110"/>
  <c r="A29" i="110"/>
  <c r="D28" i="110"/>
  <c r="C28" i="110"/>
  <c r="B28" i="110"/>
  <c r="A28" i="110"/>
  <c r="D27" i="110"/>
  <c r="C27" i="110"/>
  <c r="B27" i="110"/>
  <c r="A27" i="110"/>
  <c r="D26" i="110"/>
  <c r="C26" i="110"/>
  <c r="B26" i="110"/>
  <c r="A26" i="110"/>
  <c r="D25" i="110"/>
  <c r="C25" i="110"/>
  <c r="B25" i="110"/>
  <c r="A25" i="110"/>
  <c r="D24" i="110"/>
  <c r="C24" i="110"/>
  <c r="B24" i="110"/>
  <c r="A24" i="110"/>
  <c r="D23" i="110"/>
  <c r="C23" i="110"/>
  <c r="B23" i="110"/>
  <c r="A23" i="110"/>
  <c r="D22" i="110"/>
  <c r="C22" i="110"/>
  <c r="B22" i="110"/>
  <c r="A22" i="110"/>
  <c r="D21" i="110"/>
  <c r="C21" i="110"/>
  <c r="B21" i="110"/>
  <c r="A21" i="110"/>
  <c r="D20" i="110"/>
  <c r="C20" i="110"/>
  <c r="B20" i="110"/>
  <c r="A20" i="110"/>
  <c r="D19" i="110"/>
  <c r="C19" i="110"/>
  <c r="B19" i="110"/>
  <c r="A19" i="110"/>
  <c r="D18" i="110"/>
  <c r="C18" i="110"/>
  <c r="B18" i="110"/>
  <c r="A18" i="110"/>
  <c r="D17" i="110"/>
  <c r="C17" i="110"/>
  <c r="B17" i="110"/>
  <c r="A17" i="110"/>
  <c r="D15" i="110"/>
  <c r="C15" i="110"/>
  <c r="B15" i="110"/>
  <c r="A15" i="110"/>
  <c r="L7" i="110"/>
  <c r="G3" i="110"/>
  <c r="N12" i="109"/>
  <c r="M12" i="109"/>
  <c r="L12" i="109"/>
  <c r="E12" i="109"/>
  <c r="G11" i="109"/>
  <c r="L7" i="109" s="1"/>
  <c r="G3" i="109"/>
  <c r="L7" i="108"/>
  <c r="G3" i="108"/>
  <c r="N12" i="107"/>
  <c r="M12" i="107"/>
  <c r="L12" i="107"/>
  <c r="E12" i="107"/>
  <c r="G11" i="107"/>
  <c r="L7" i="107" s="1"/>
  <c r="G3" i="107"/>
  <c r="L7" i="106"/>
  <c r="G3" i="106"/>
  <c r="N12" i="105"/>
  <c r="M12" i="105"/>
  <c r="L12" i="105"/>
  <c r="G11" i="105"/>
  <c r="L7" i="105" s="1"/>
  <c r="G3" i="105"/>
  <c r="G3" i="6"/>
  <c r="D30" i="78"/>
  <c r="D8" i="58"/>
  <c r="H9" i="58"/>
  <c r="F10" i="58"/>
  <c r="H7" i="58"/>
  <c r="D10" i="58"/>
  <c r="D7" i="58"/>
  <c r="E7" i="58"/>
  <c r="D6" i="58"/>
  <c r="H10" i="58"/>
  <c r="F7" i="58"/>
  <c r="E8" i="58"/>
  <c r="H12" i="58"/>
  <c r="F8" i="58"/>
  <c r="K15" i="2"/>
  <c r="K19" i="2"/>
  <c r="E11" i="58"/>
  <c r="K18" i="2"/>
  <c r="F11" i="58"/>
  <c r="F12" i="58"/>
  <c r="E12" i="58"/>
  <c r="F9" i="58"/>
  <c r="H11" i="58"/>
  <c r="K16" i="2"/>
  <c r="E6" i="58"/>
  <c r="E10" i="58"/>
  <c r="D12" i="58"/>
  <c r="F6" i="58"/>
  <c r="K20" i="2"/>
  <c r="D9" i="58"/>
  <c r="H6" i="58"/>
  <c r="D11" i="58"/>
  <c r="E9" i="58"/>
  <c r="K14" i="2"/>
  <c r="H8" i="58"/>
  <c r="K17" i="2"/>
  <c r="G9" i="58" l="1"/>
  <c r="G12" i="58"/>
  <c r="G8" i="58"/>
  <c r="G11" i="58"/>
  <c r="G7" i="58"/>
  <c r="G10" i="58"/>
  <c r="B14" i="2" l="1"/>
  <c r="A14" i="2"/>
  <c r="B13" i="2"/>
  <c r="A13" i="2"/>
  <c r="H5" i="58"/>
  <c r="D5" i="58"/>
  <c r="F5" i="58"/>
  <c r="K13" i="2"/>
  <c r="E5" i="58"/>
  <c r="E13" i="58" l="1"/>
  <c r="D13" i="58"/>
  <c r="F13" i="58"/>
  <c r="H13" i="58"/>
  <c r="H14" i="58" s="1"/>
  <c r="G6" i="58"/>
  <c r="G5" i="58"/>
  <c r="F14" i="58" l="1"/>
  <c r="D14" i="58"/>
  <c r="G13" i="58"/>
  <c r="G14" i="58" s="1"/>
  <c r="E14" i="58"/>
  <c r="N12" i="6"/>
  <c r="M12" i="6"/>
  <c r="L12" i="6"/>
  <c r="G11" i="6"/>
  <c r="L7" i="6" s="1"/>
  <c r="E12" i="6"/>
  <c r="A18" i="6"/>
  <c r="B18" i="6"/>
  <c r="C18" i="6"/>
  <c r="D18" i="6"/>
  <c r="A19" i="6"/>
  <c r="B19" i="6"/>
  <c r="C19" i="6"/>
  <c r="D19" i="6"/>
  <c r="A20" i="6"/>
  <c r="B20" i="6"/>
  <c r="C20" i="6"/>
  <c r="D20" i="6"/>
  <c r="A21" i="6"/>
  <c r="B21" i="6"/>
  <c r="C21" i="6"/>
  <c r="D21" i="6"/>
  <c r="A22" i="6"/>
  <c r="B22" i="6"/>
  <c r="C22" i="6"/>
  <c r="D22" i="6"/>
  <c r="A23" i="6"/>
  <c r="B23" i="6"/>
  <c r="C23" i="6"/>
  <c r="D23" i="6"/>
  <c r="A24" i="6"/>
  <c r="B24" i="6"/>
  <c r="C24" i="6"/>
  <c r="D24" i="6"/>
  <c r="A25" i="6"/>
  <c r="B25" i="6"/>
  <c r="C25" i="6"/>
  <c r="D25" i="6"/>
  <c r="A26" i="6"/>
  <c r="B26" i="6"/>
  <c r="C26" i="6"/>
  <c r="D26" i="6"/>
  <c r="A27" i="6"/>
  <c r="B27" i="6"/>
  <c r="C27" i="6"/>
  <c r="D27" i="6"/>
  <c r="A28" i="6"/>
  <c r="B28" i="6"/>
  <c r="C28" i="6"/>
  <c r="D28" i="6"/>
  <c r="A29" i="6"/>
  <c r="B29" i="6"/>
  <c r="C29" i="6"/>
  <c r="D29" i="6"/>
  <c r="A30" i="6"/>
  <c r="B30" i="6"/>
  <c r="C30" i="6"/>
  <c r="D30" i="6"/>
  <c r="A31" i="6"/>
  <c r="B31" i="6"/>
  <c r="C31" i="6"/>
  <c r="D31" i="6"/>
  <c r="A32" i="6"/>
  <c r="B32" i="6"/>
  <c r="C32" i="6"/>
  <c r="D32" i="6"/>
  <c r="A33" i="6"/>
  <c r="B33" i="6"/>
  <c r="C33" i="6"/>
  <c r="D33" i="6"/>
  <c r="A34" i="6"/>
  <c r="B34" i="6"/>
  <c r="C34" i="6"/>
  <c r="D34" i="6"/>
  <c r="A35" i="6"/>
  <c r="B35" i="6"/>
  <c r="C35" i="6"/>
  <c r="D35" i="6"/>
  <c r="A36" i="6"/>
  <c r="B36" i="6"/>
  <c r="C36" i="6"/>
  <c r="D36" i="6"/>
  <c r="A37" i="6"/>
  <c r="B37" i="6"/>
  <c r="C37" i="6"/>
  <c r="D37" i="6"/>
  <c r="A38" i="6"/>
  <c r="B38" i="6"/>
  <c r="C38" i="6"/>
  <c r="D38" i="6"/>
  <c r="A39" i="6"/>
  <c r="B39" i="6"/>
  <c r="C39" i="6"/>
  <c r="D39" i="6"/>
  <c r="A43" i="6"/>
  <c r="B43" i="6"/>
  <c r="C43" i="6"/>
  <c r="D43" i="6"/>
  <c r="A15" i="6"/>
  <c r="B15" i="6"/>
  <c r="C15" i="6"/>
  <c r="D15" i="6"/>
  <c r="A17" i="6"/>
  <c r="B17" i="6"/>
  <c r="C17" i="6"/>
  <c r="D17" i="6"/>
  <c r="D44" i="6"/>
  <c r="C44" i="6"/>
  <c r="B44" i="6"/>
  <c r="A44" i="6"/>
</calcChain>
</file>

<file path=xl/sharedStrings.xml><?xml version="1.0" encoding="utf-8"?>
<sst xmlns="http://schemas.openxmlformats.org/spreadsheetml/2006/main" count="3351" uniqueCount="1214">
  <si>
    <t>Document History</t>
  </si>
  <si>
    <t>Date</t>
  </si>
  <si>
    <t>Version</t>
  </si>
  <si>
    <t>Expected Result</t>
  </si>
  <si>
    <t>Executed By:</t>
  </si>
  <si>
    <t>Data</t>
  </si>
  <si>
    <t>Function :</t>
  </si>
  <si>
    <t>Test Name</t>
  </si>
  <si>
    <t>Designer</t>
  </si>
  <si>
    <t>Test Description :</t>
  </si>
  <si>
    <t>Test Name :</t>
  </si>
  <si>
    <t>Cycle :</t>
  </si>
  <si>
    <t>Step Name</t>
  </si>
  <si>
    <t>Actual Result</t>
  </si>
  <si>
    <t>Document Name :</t>
  </si>
  <si>
    <t>Test Phase :</t>
  </si>
  <si>
    <t>Created By :</t>
  </si>
  <si>
    <t>Data Seup</t>
  </si>
  <si>
    <t>Subject</t>
  </si>
  <si>
    <t>Pre-Condition</t>
  </si>
  <si>
    <t xml:space="preserve"> </t>
  </si>
  <si>
    <t>Test Objective</t>
  </si>
  <si>
    <t>Application :</t>
  </si>
  <si>
    <t>Reviewer</t>
  </si>
  <si>
    <t>Test Name *</t>
  </si>
  <si>
    <t>Status *</t>
  </si>
  <si>
    <t>Figure.7</t>
  </si>
  <si>
    <t>3. Press Create Test Script button then new sheet name Test Name is created as shown in Figure 5 and Figure 6</t>
  </si>
  <si>
    <t>2. Move cursor to Test Name cell as shown in Figure. 4</t>
  </si>
  <si>
    <t>Step :</t>
  </si>
  <si>
    <t>How to create test script</t>
  </si>
  <si>
    <t>Figure. 1</t>
  </si>
  <si>
    <t>How to fill details of Document Control</t>
  </si>
  <si>
    <t>Application Name :</t>
  </si>
  <si>
    <t>1. Fill in details including Test Objective, Test Case (Positive/Negative), Application Name, Function, Test Name, Description and Expected Result as shown in Figure. 3</t>
  </si>
  <si>
    <t>Test Case (Negative/Positive)</t>
  </si>
  <si>
    <t>Description *</t>
  </si>
  <si>
    <t>4. Fill in Step Name, Description and Expected Result as shown in Figure.6</t>
  </si>
  <si>
    <t>Function/Module</t>
  </si>
  <si>
    <t>Test Cases</t>
  </si>
  <si>
    <t>Author</t>
  </si>
  <si>
    <t>Reason for Change</t>
  </si>
  <si>
    <t>Pass</t>
  </si>
  <si>
    <t>Step No.</t>
  </si>
  <si>
    <t>Action</t>
  </si>
  <si>
    <t>Step of Testing</t>
  </si>
  <si>
    <t>End Of Test Case</t>
  </si>
  <si>
    <t>Fail</t>
  </si>
  <si>
    <t>Test Result</t>
  </si>
  <si>
    <t>Document Reference :</t>
  </si>
  <si>
    <t xml:space="preserve">Status : </t>
  </si>
  <si>
    <t>Test Date</t>
  </si>
  <si>
    <t>Defect ID</t>
  </si>
  <si>
    <t>Not Run</t>
  </si>
  <si>
    <t>Total Action:</t>
  </si>
  <si>
    <t>Start Date:</t>
  </si>
  <si>
    <t>Integration Testing</t>
  </si>
  <si>
    <t>0.0.1</t>
  </si>
  <si>
    <t>Create Date</t>
  </si>
  <si>
    <t>Test Status Report</t>
  </si>
  <si>
    <t>Passed</t>
  </si>
  <si>
    <t>Failed</t>
  </si>
  <si>
    <t>Total Action</t>
  </si>
  <si>
    <t>Not Executed</t>
  </si>
  <si>
    <t>Grand Total</t>
  </si>
  <si>
    <t>%</t>
  </si>
  <si>
    <t>** Click Summary Button to generate test result summary</t>
  </si>
  <si>
    <t>N/A</t>
  </si>
  <si>
    <t>In Progress</t>
  </si>
  <si>
    <t>#01</t>
  </si>
  <si>
    <t>Design</t>
  </si>
  <si>
    <t>Test Manager</t>
  </si>
  <si>
    <t>Suphat S.</t>
  </si>
  <si>
    <t>initial Information</t>
  </si>
  <si>
    <t>เงื่อนไขหน้าจอการจดทะเบียน</t>
  </si>
  <si>
    <t xml:space="preserve">The Excise Department </t>
  </si>
  <si>
    <t>Tanaporn T.</t>
  </si>
  <si>
    <t>บันทึกรหัสเครื่องหมายการค้าหลัก(PRCE0002)</t>
  </si>
  <si>
    <t>ทดสอบการบันทึกรหัสเครื่องหมายการค้าหลัก(PRCE0002)</t>
  </si>
  <si>
    <t>ทดสอบการบันทึกรหัสเครื่องหมายการค้าหลักในกรณี Happy Flow</t>
  </si>
  <si>
    <t>ทดสอบการบันทึกรหัสเครื่องหมายการค้าหลักในกรณี Validate ข้อมูล</t>
  </si>
  <si>
    <t>บันทึกรหัสเครื่องหมายการค้ารอง(PRCE0003)</t>
  </si>
  <si>
    <t>ทดสอบการบันทึกรหัสเครื่องหมายการค้ารอง(PRCE0003)</t>
  </si>
  <si>
    <t>ทดสอบการบันทึกรหัสเครื่องหมายการค้ารองในกรณี Happy Flow</t>
  </si>
  <si>
    <t>ทดสอบการบันทึกรหัสเครื่องหมายการค้ารองในกรณี Validate ข้อมูล</t>
  </si>
  <si>
    <t>บันทึกรหัสแบบรุ่น(PRCE0004)</t>
  </si>
  <si>
    <t>ทดสอบการบันทึกรหัสแบบรุ่น(PRCE0004)</t>
  </si>
  <si>
    <t>ทดสอบการบันทึกรหัสแบบรุ่นในกรณี Happy Flow</t>
  </si>
  <si>
    <t>ทดสอบการบันทึกรหัสแบบรุ่นในกรณี Validate ข้อมูล</t>
  </si>
  <si>
    <t>บันทึกรหัสขนาด(PRCE0005)</t>
  </si>
  <si>
    <t>ทดสอบการบันทึกรหัสขนาดในกรณี Happy Flow</t>
  </si>
  <si>
    <t>ทดสอบการบันทึกรหัสขนาดในกรณี Validate ข้อมูล</t>
  </si>
  <si>
    <t>ED_PRC_TestCase_V.0.0.1</t>
  </si>
  <si>
    <t>ED_PRC_TC_00001</t>
  </si>
  <si>
    <t>ED_PRC_TC_00002</t>
  </si>
  <si>
    <t>ED_PRC_TC_00003</t>
  </si>
  <si>
    <t>ED_PRC_TC_00004</t>
  </si>
  <si>
    <t>ED_PRC_TC_00005</t>
  </si>
  <si>
    <t>ED_PRC_TC_00006</t>
  </si>
  <si>
    <t>ED_PRC_TC_00007</t>
  </si>
  <si>
    <t>ED_PRC_TC_00008</t>
  </si>
  <si>
    <t>บันทึกรหัสเครื่องหมายการค้าหลัก (PRCE0002)</t>
  </si>
  <si>
    <t>ตรวจสอบหน้าจอ บันทึกรหัสเครื่องหมายการค้าหลัก(PRCE0002)</t>
  </si>
  <si>
    <t>ทดสอบเลือกกลุ่มสินค้าหลัก (PRCE0002)</t>
  </si>
  <si>
    <t>สามารถเลือก ชื่อกลุ่มสินค้าได้</t>
  </si>
  <si>
    <t>สามารถกรอก รายละเอียด Field บันทึกรายการได้</t>
  </si>
  <si>
    <t>สามารถล้าง ข้อมูลให้สามารถทำรายการใหม่ได้</t>
  </si>
  <si>
    <t>ทดสอบกรอกข้อมูลเงื่อนไขบันทึกรายการ (PRCE0002)</t>
  </si>
  <si>
    <t>สามารถกรอก ข้อมูลเป็นภาษาไทยได้</t>
  </si>
  <si>
    <t>สามารถกรอก ข้อมูลเป็นภาษาอังกฤษได้</t>
  </si>
  <si>
    <t>สามารถกรอกหรือเลือกข้อมูล วันที่เริ่มใช้รหัสเครื่องหมายการค้าได้</t>
  </si>
  <si>
    <t>สามารถกรอกหรือเลือกข้อมูล วันที่สิ้นสุดใช้รหัสเครื่องหมายการค้าได้</t>
  </si>
  <si>
    <t>ทดสอบบันทึกรหัสเครื่องหมายการค้าหลัก (PRCE0002)</t>
  </si>
  <si>
    <t>หน้าจอ การเข้าใช้งานระบบบันทึกรหัสเครื่องหมายการค้าหลัก (PRCE0002)  
- กรอก หรือ เลือกข้อมูลครบถ้วน
- กดปุ่ม บันทึก</t>
  </si>
  <si>
    <t>แสดง popup สามารถข้อความ 'บันทึกข้อมูลเรียบร้อยแล้ว'</t>
  </si>
  <si>
    <t>หน้าจอ การเข้าใช้งานระบบบันทึกรหัสเครื่องหมายการค้าหลัก (PRCE0002)  
- กดปุ่ม OK</t>
  </si>
  <si>
    <t xml:space="preserve">สามารถบันทึก รหัสเครื่องหมายการค้าหลักได้ </t>
  </si>
  <si>
    <t>ทดสอบค้นหารหัสเครื่องหมายการค้าหลัก (PRCE0002)</t>
  </si>
  <si>
    <t>ทดสอบแก้ไขรหัสเครื่องหมายการค้าหลัก (PRCE0002)</t>
  </si>
  <si>
    <t xml:space="preserve">สามารถแก้ไข รหัสเครื่องหมายการค้าหลักได้ </t>
  </si>
  <si>
    <t>หน้าจอ การเข้าใช้งานระบบบันทึกรหัสเครื่องหมายการค้าหลัก (PRCE0002)  
- กดปุ่ม บันทึก</t>
  </si>
  <si>
    <t>ทดสอบลบรหัสเครื่องหมายการค้าหลัก (PRCE0002)</t>
  </si>
  <si>
    <t xml:space="preserve">หน้าจอ การเข้าใช้งานระบบบันทึกรหัสเครื่องหมายการค้าหลัก (PRCE0002) 
- กรอก หรือ เลือกชื่อกลุ่มสินค้า ที่ต้องการลบ
- กดปุ่ม ตกลง
- กดปุ่ม ค้นหา
- แสดงข้อมูลที่ค้นหา
- เลือกข้อมูลที่ต้องการลบจากรายการที่แสดง
</t>
  </si>
  <si>
    <t>แสดงรายการ และเลือกข้อมูลที่ต้องการลบได้</t>
  </si>
  <si>
    <t>หน้าจอ การเข้าใช้งานระบบบันทึกรหัสเครื่องหมายการค้าหลัก (PRCE0002)  
- กดปุ่ม ลบ</t>
  </si>
  <si>
    <t>แสดง popup ข้อความ 'ต้องการลบข้อมูลหรือไม่'</t>
  </si>
  <si>
    <t xml:space="preserve">สามารถลบ รหัสเครื่องหมายการค้าหลักได้ </t>
  </si>
  <si>
    <t>หน้าจอ การเข้าใช้งานระบบบันทึกรหัสเครื่องหมายการค้าหลัก (PRCE0002)  
- กดปุ่ม Cancel</t>
  </si>
  <si>
    <t xml:space="preserve">สามารถยกเลิกการลบ รหัสเครื่องหมายการค้าหลักได้ </t>
  </si>
  <si>
    <t>ทดสอบล้างข้อมูลรหัสเครื่องหมายการค้าหลัก (PRCE0002)</t>
  </si>
  <si>
    <t>หน้าจอ การเข้าใช้งานระบบบันทึกรหัสเครื่องหมายการค้าหลัก (PRCE0002)  
- กรอก หรือ เลือกข้อมูลครบถ้วน
- กดปุ่ม ล้างข้อมูล</t>
  </si>
  <si>
    <t>สามารถล้างข้อมูล ให้สามารถทำรายการใหม่ได้</t>
  </si>
  <si>
    <t>ทดสอบตารางแสดงข้อมูลรหัสเครื่องหมายการค้าหลัก (PRCE0002)</t>
  </si>
  <si>
    <t>หน้าจอ การเข้าใช้งานระบบบันทึกรหัสเครื่องหมายการค้าหลัก (PRCE0002)  
- แสดงรายการข้อมูลที่ค้นหา</t>
  </si>
  <si>
    <t>สามารถแสดงรายการข้อมูลได้</t>
  </si>
  <si>
    <t xml:space="preserve">หน้าจอ การเข้าใช้งานระบบบันทึกรหัสเครื่องหมายการค้าหลัก (PRCE0002)  
- Items per page:
- เลือกจำนวนหน้าที่ต้องการแสดงผล
</t>
  </si>
  <si>
    <t>สามารถแสดงตารางข้อมูลตามจำนวนหน้าที่เลือกได้</t>
  </si>
  <si>
    <t xml:space="preserve">หน้าจอ การเข้าใช้งานระบบบันทึกรหัสเครื่องหมายการค้าหลัก (PRCE0002)  
- 0 of 0:
 - รายการแสดงจำนวนหน้าที่เลือก
</t>
  </si>
  <si>
    <t>สามารถแสดงจำนวนหน้าที่มีข้อมูลได้ถูกต้อง</t>
  </si>
  <si>
    <t>หน้าจอ การเข้าใช้งานระบบบันทึกรหัสเครื่องหมายการค้าหลัก (PRCE0002)  
- ปุ่มก่อน...ถัดไป</t>
  </si>
  <si>
    <t>สามารถกดปุ่มก่อน/ถัดไป และแสดงข้อมูลได้</t>
  </si>
  <si>
    <t>No</t>
  </si>
  <si>
    <t>Menu</t>
  </si>
  <si>
    <t>Master Menu</t>
  </si>
  <si>
    <t>Remark</t>
  </si>
  <si>
    <t>Page</t>
  </si>
  <si>
    <t>บันทึกข้อมูลหลัก</t>
  </si>
  <si>
    <t>http://13.250.227.94:7001/ED-WEB/</t>
  </si>
  <si>
    <t>บันทึกรหัสเครื่องหมายการค้ารอง (PRCE0003)</t>
  </si>
  <si>
    <t>http://13.250.227.94:7001/EDINTRAWeb/jsp/prc/PRCE0003.jsp</t>
  </si>
  <si>
    <t>บันทึกรหัสแบบรุ่น/ (PRCE0004)</t>
  </si>
  <si>
    <t>http://13.250.227.94:7001/EDINTRAWeb/jsp/prc/PRCE0004.jsp</t>
  </si>
  <si>
    <t>บันทึกรหัสขนาด (PRCE0005)</t>
  </si>
  <si>
    <t>http://13.250.227.94:7001/EDINTRAWeb/jsp/prc/PRCE0005.jsp</t>
  </si>
  <si>
    <t>บันทึกรายการสินค้า/บริการ (PRCE0007)</t>
  </si>
  <si>
    <t>บันทึกรายการสินค้า/บริการ</t>
  </si>
  <si>
    <t>http://13.250.227.94:7001/EDINTRAWeb/jsp/prc/PRCE0007.jsp</t>
  </si>
  <si>
    <t>บันทึกรายการสินค้าสุราชุมชน (PRCE0007L)</t>
  </si>
  <si>
    <t>http://13.250.227.94:7001/EDINTRAWeb/jsp/prc/PRCE0007L.jsp</t>
  </si>
  <si>
    <t>บันทึกรายการสินค้า บริการ สำหรับ /BI (NEW) (RDBE0051)</t>
  </si>
  <si>
    <r>
      <t xml:space="preserve">save data 2 sections ลง Table rdb.category
ซึ่งเป็นหน้า Manage "Category_Group" &amp; "PRODUCT_Category"
</t>
    </r>
    <r>
      <rPr>
        <b/>
        <i/>
        <u/>
        <sz val="10"/>
        <color theme="1"/>
        <rFont val="Arial"/>
        <family val="2"/>
      </rPr>
      <t>***Need UI/UX to ReDesign</t>
    </r>
  </si>
  <si>
    <t>http://13.250.227.94:7001/EDINTRAWeb/jsp/rdb/RDBE0051.jsp</t>
  </si>
  <si>
    <t>บันทึกแบบแจ้งราคาขายปลีกแนะนำ ภส.02-01 (PRCE0009)</t>
  </si>
  <si>
    <t>แบบแจ้งราคา</t>
  </si>
  <si>
    <t>4 tabs</t>
  </si>
  <si>
    <t>http://13.250.227.94:7001/EDINTRAWeb/jsp/prc/PRCE0009.jsp</t>
  </si>
  <si>
    <t>บันทึกแบบแจ้ง ราคาค่า บริการ ภส 02-02.(PRCE0010)</t>
  </si>
  <si>
    <t>2 tabs</t>
  </si>
  <si>
    <t>http://13.250.227.94:7001/EDINTRAWeb/jsp/prc/PRCE0010.jsp</t>
  </si>
  <si>
    <t>Links Old System</t>
  </si>
  <si>
    <t>Links New System</t>
  </si>
  <si>
    <t>ตรวจสอบหน้าจอ บันทึกรหัสเครื่องหมายการค้ารอง (PRCE0003)</t>
  </si>
  <si>
    <t>หน้าจอ บันทึกรหัสเครื่องหมายการค้ารอง</t>
  </si>
  <si>
    <t>ทดสอบเลือกกลุ่มสินค้ารอง (PRCE0003)</t>
  </si>
  <si>
    <t xml:space="preserve">หน้าจอ การเข้าใช้งานระบบบันทึกรหัสเครื่องหมายการค้ารอง (PRCE0003)
- เลือกชื่อกลุ่มสินค้า
</t>
  </si>
  <si>
    <t xml:space="preserve">หน้าจอ การเข้าใช้งานระบบบันทึกรหัสเครื่องหมายการค้ารอง (PRCE0003)
- เลือกเครื่องหมายการค้าหลัก
</t>
  </si>
  <si>
    <t>สามารถเลือก เครื่องหมายการค้าหลักได้</t>
  </si>
  <si>
    <t>หน้าจอ การเข้าใช้งานระบบบันทึกรหัสเครื่องหมายการค้ารอง (PRCE0003)
- กดปุ่ม ตกลง</t>
  </si>
  <si>
    <t>หน้าจอ การเข้าใช้งานระบบบันทึกรหัสเครื่องหมายการค้ารอง (PRCE0003)
- กดปุ่ม ล้าง</t>
  </si>
  <si>
    <t>ทดสอบกรอกข้อมูลเงื่อนไขบันทึกรายการ (PRCE0003)</t>
  </si>
  <si>
    <t>หน้าจอ การเข้าใช้งานระบบบันทึกรหัสเครื่องหมายการค้ารอง (PRCE0003) 
Field บันทึกรายการ
- กรอกชื่อเครื่องหมายการค้ารอง (ไทย)</t>
  </si>
  <si>
    <t>หน้าจอ การเข้าใช้งานระบบบันทึกรหัสเครื่องหมายการค้ารอง (PRCE0003)  
Field บันทึกรายการ
- กรอกชื่อเครื่องหมายการค้ารอง (อังกฤษ)</t>
  </si>
  <si>
    <t>หน้าจอ การเข้าใช้งานระบบบันทึกรหัสเครื่องหมายการค้ารอง (PRCE0003) 
Field บันทึกรายการ
- กรอก/เลือก ข้อมูล วัน เดือน ปี ที่เริ่มใช้รหัสเครื่องหมายการค้ารอง</t>
  </si>
  <si>
    <t>สามารถกรอกหรือเลือกข้อมูล วันที่เริ่มใช้รหัสเครื่องหมายการค้ารองได้</t>
  </si>
  <si>
    <t>หน้าจอ การเข้าใช้งานระบบบันทึกรหัสเครื่องหมายการค้ารอง (PRCE0003) 
Field บันทึกรายการ
- กรอก/เลือก ข้อมูล วัน เดือน ปี ที่สิ้นสุดใช้รหัสเครื่องหมายการค้ารอง</t>
  </si>
  <si>
    <t>สามารถกรอกหรือเลือกข้อมูล วันที่สิ้นสุดใช้รหัสเครื่องหมายการค้ารองได้</t>
  </si>
  <si>
    <t>ทดสอบบันทึกรหัสเครื่องหมายการค้าหลักรอง (PRCE0003)</t>
  </si>
  <si>
    <t>หน้าจอ การเข้าใช้งานระบบบันทึกรหัสเครื่องหมายการค้ารอง (PRCE0003)  
- กรอก และ เลือกข้อมูลครบถ้วน
- กดปุ่ม บันทึก</t>
  </si>
  <si>
    <t>แสดง popup ข้อความ 'บันทึกข้อมูลเรียบร้อยแล้ว'</t>
  </si>
  <si>
    <t>หน้าจอ การเข้าใช้งานระบบบันทึกรหัสเครื่องหมายการค้ารอง (PRCE0003)  
- กดปุ่ม OK</t>
  </si>
  <si>
    <t xml:space="preserve">สามารถบันทึก รหัสเครื่องหมายการค้ารองได้ </t>
  </si>
  <si>
    <t>ทดสอบค้นหารหัสเครื่องหมายการค้ารอง (PRCE0003)</t>
  </si>
  <si>
    <t>หน้าจอ การเข้าใช้งานระบบบันทึกรหัสเครื่องหมายการค้ารอง (PRCE0003)  
- กรอก หรือ เลือกข้อมูลที่ต้องการค้นหา
- กดปุ่ม ค้นหา</t>
  </si>
  <si>
    <t xml:space="preserve">สามารถค้นหา รหัสเครื่องหมายการค้ารองได้ </t>
  </si>
  <si>
    <t>ทดสอบแก้ไขรหัสเครื่องหมายการค้ารอง (PRCE0003)</t>
  </si>
  <si>
    <t>หน้าจอ การเข้าใช้งานระบบบันทึกรหัสเครื่องหมายการค้ารอง (PRCE0003)  
- กรอก หรือ เลือกข้อมูลที่ต้องการแก้ไข
- กดปุ่ม ตกลง
- กดปุ่ม ค้นหา
- แสดงข้อมูลที่ค้นหา
- เลือกข้อมูลที่ต้องการแก้ไขจากรายการที่แสดง
- กดปุ่ม บันทึก</t>
  </si>
  <si>
    <t xml:space="preserve">สามารถบันทึกการแก้ไข รหัสเครื่องหมายการค้ารองได้ </t>
  </si>
  <si>
    <t>ทดสอบลบรหัสเครื่องหมายการค้ารอง (PRCE0003)</t>
  </si>
  <si>
    <t xml:space="preserve">หน้าจอ การเข้าใช้งานระบบบันทึกรหัสเครื่องหมายการค้ารอง (PRCE0003) 
- กรอก หรือ เลือกข้อมูลที่ต้องการลบ
- กดปุ่ม ตกลง
- กดปุ่ม ค้นหา 
- แสดงข้อมูลที่ค้นหา
- เลือกข้อมูลที่ต้องการลบจากรายการที่แสดง
</t>
  </si>
  <si>
    <t>หน้าจอ การเข้าใช้งานระบบบันทึกรหัสเครื่องหมายการค้ารอง (PRCE0003) 
- กดปุ่ม ลบ</t>
  </si>
  <si>
    <t xml:space="preserve">สามารถลบ รหัสเครื่องหมายการค้ารองได้ </t>
  </si>
  <si>
    <t>หน้าจอ การเข้าใช้งานระบบบันทึกรหัสเครื่องหมายการค้ารอง (PRCE0003)  
- กดปุ่ม Cancel</t>
  </si>
  <si>
    <t xml:space="preserve">สามารถยกเลิกการลบ รหัสเครื่องหมายการค้ารองได้ </t>
  </si>
  <si>
    <t>ทดสอบล้างข้อมูลรหัสเครื่องหมายการค้ารอง (PRCE0003)</t>
  </si>
  <si>
    <t>หน้าจอ การเข้าใช้งานระบบบันทึกรหัสเครื่องหมายการค้ารอง (PRCE0003)  
- กรอก หรือ เลือกข้อมูลครบถ้วน
- กดปุ่ม ล้างข้อมูล</t>
  </si>
  <si>
    <t>ทดสอบตารางแสดงข้อมูลรหัสเครื่องหมายการค้ารอง (PRCE0003)</t>
  </si>
  <si>
    <t>หน้าจอ การเข้าใช้งานระบบบันทึกรหัสเครื่องหมายการค้ารอง (PRCE0003)  
- แสดงรายการข้อมูลที่ค้นหา</t>
  </si>
  <si>
    <t>สามารถแสดงรายการข้อมูลที่ค้นหาได้</t>
  </si>
  <si>
    <t xml:space="preserve">หน้าจอ การเข้าใช้งานระบบบันทึกรหัสเครื่องหมายการค้ารอง (PRCE0003)  
- Items per page:
- เลือกจำนวนหน้าที่ต้องการแสดงผล
</t>
  </si>
  <si>
    <t xml:space="preserve">หน้าจอ การเข้าใช้งานระบบบันทึกรหัสเครื่องหมายการค้ารอง (PRCE0003)  
- 0 of 0:
 - รายการแสดงจำนวนหน้าที่เลือก
</t>
  </si>
  <si>
    <t>สามารถแสดงจำนวนหน้า ที่มีข้อมูลจากการค้นหาได้</t>
  </si>
  <si>
    <t>หน้าจอ การเข้าใช้งานระบบบันทึกรหัสเครื่องหมายการค้ารอง (PRCE0003)  
- ปุ่มก่อน...ถัดไป</t>
  </si>
  <si>
    <t>ทดสอบเลือกกลุ่มสินค้า(PRCE0004)</t>
  </si>
  <si>
    <t>ทดสอบกรอกข้อมูลเงื่อนไขบันทึกรายการ (PRCE0004)</t>
  </si>
  <si>
    <t>ตรวจสอบหน้าจอ บันทึกรหัสขนาด (PRCE0005)</t>
  </si>
  <si>
    <t>ทดสอบเลือกกลุ่มสินค้า(PRCE0005)</t>
  </si>
  <si>
    <t xml:space="preserve">หน้าจอ การเข้าใช้งานระบบบันทึกรหัสขนาด (PRCE0005)
- เลือกชื่อกลุ่มสินค้า
</t>
  </si>
  <si>
    <t>หน้าจอ การเข้าใช้งานระบบบันทึกรหัสขนาด (PRCE0005)
- กดปุ่ม ตกลง</t>
  </si>
  <si>
    <t>หน้าจอ การเข้าใช้งานระบบบันทึกรหัสขนาด (PRCE0005)
- กดปุ่ม ล้าง</t>
  </si>
  <si>
    <t>ทดสอบกรอกข้อมูลเงื่อนไขบันทึกรายการ (PRCE0005)</t>
  </si>
  <si>
    <t>หน้าจอ การเข้าใช้งานระบบบันทึกรหัสขนาด (PRCE0005) 
Field บันทึกรายการ
- กรอกรายละเอียด</t>
  </si>
  <si>
    <t>สามารถกรอก รายละอียดข้อมูลได้</t>
  </si>
  <si>
    <t>หน้าจอ การเข้าใช้งานระบบบันทึกรหัสขนาด (PRCE0005) 
Field บันทึกรายการ
- เลือกหน่วยสินค้าที่ใช้</t>
  </si>
  <si>
    <t>สามารถเลือก หน่วยสินค้าที่ใช้จากรายที่ระบบกำหนดได้</t>
  </si>
  <si>
    <t>หน้าจอ การเข้าใช้งานระบบบันทึกรหัสขนาด (PRCE0005) 
Field บันทึกรายการ
- กรอก/เลือก ข้อมูล วัน เดือน ปี ที่เริ่มใช้รหัสขนาด</t>
  </si>
  <si>
    <t>สามารถกรอกหรือเลือกข้อมูล วันที่เริ่มใช้รหัสขนาดได้</t>
  </si>
  <si>
    <t>หน้าจอ การเข้าใช้งานระบบบันทึกรหัสขนาด (PRCE0005)
Field บันทึกรายการ
- กรอก/เลือก ข้อมูล วัน เดือน ปี ที่สิ้นสุดใช้รหัสขนาด</t>
  </si>
  <si>
    <t>สามารถกรอกหรือเลือกข้อมูล วันที่สิ้นสุดใช้รหัสขนาดได้</t>
  </si>
  <si>
    <t>ทดสอบบันทึกรหัสขนาด(PRCE0005)</t>
  </si>
  <si>
    <t>หน้าจอ การเข้าใช้งานระบบบันทึกรหัสขนาด (PRCE0005) 
- กรอก และ เลือกข้อมูลครบถ้วน
- กดปุ่ม บันทึก</t>
  </si>
  <si>
    <t>ทดสอบค้นหารหัสขนาด(PRCE0005)</t>
  </si>
  <si>
    <t>ทดสอบแก้ไขรหัสขนาด(PRCE0005)</t>
  </si>
  <si>
    <t>หน้าจอ การเข้าใช้งานระบบบันทึกรหัสขนาด (PRCE0005) 
- กรอก หรือ เลือกข้อมูลที่ต้องการแก้ไข
- กดปุ่ม ตกลง
- กดปุ่ม ค้นหา
- แสดงข้อมูลที่ค้นหา
- เลือกข้อมูลที่ต้องการแก้ไขจากรายการที่แสดง
- กดปุ่ม บันทึก</t>
  </si>
  <si>
    <t>ทดสอบลบรหัสขนาด(PRCE0005)</t>
  </si>
  <si>
    <t xml:space="preserve">หน้าจอ การเข้าใช้งานระบบบันทึกรหัสขนาด (PRCE0005) 
- กรอก หรือ เลือกข้อมูลที่ต้องการลบ
- กดปุ่ม ตกลง
- กดปุ่ม ค้นหา 
- แสดงข้อมูลที่ค้นหา
- เลือกข้อมูลที่ต้องการลบจากรายการที่แสดง
</t>
  </si>
  <si>
    <t>หน้าจอ การเข้าใช้งานระบบบันทึกรหัสขนาด (PRCE0005) 
- กดปุ่ม ลบ</t>
  </si>
  <si>
    <t>สามารถลบ รหัสขนาดได้</t>
  </si>
  <si>
    <t>ทดสอบล้างข้อมูลรหัสขนาด(PRCE0005)</t>
  </si>
  <si>
    <t>ทดสอบตารางแสดงข้อมูลรหัสขนาด (PRCE0005)</t>
  </si>
  <si>
    <t>หน้าจอ การเข้าใช้งานระบบบันทึกรหัสขนาด (PRCE0005) ) 
- ปุ่มก่อน...ถัดไป</t>
  </si>
  <si>
    <t>Suphat Sa.</t>
  </si>
  <si>
    <t>ตรวจสอบหน้าจอ บันทึกรหัสแบบ/รุ่น (PRCE0004)</t>
  </si>
  <si>
    <t>หน้าจอ กรมสรรพสามิตร
- กดปุ่ม/Tab บันทึกรหัสแบบ/รุ่น</t>
  </si>
  <si>
    <t>http://13.250.227.94:7001/modelcode</t>
  </si>
  <si>
    <t>ระบบแสดงหน้าจอ บันทึกรหัสแบบ/รุ่น ประกอบด้วย :
1. เครื่องหมายการค้าหลัก
- ชื่อกลุ่มสินค้า
- ปุ่มตกลง
- ปุ่มล้าง
2. บันทึกรายการ
- รหัสแบบ/รุ่น
- รายละเอียด
- วันที่เริ่มใช้รหัสแบบ/รุ่น
- วันที่สิ้นสุดใช้รหัสแบบ/รุ่น
- ปุ่มบันทึก
- ปุ่มลบ
- ปุ่มค้นหา
- ปุ่มล้างข้อมูล
3. ตารางแสดงผลข้อมูล
- รหัสแบบ/รุ่น 
- รายละเอียดรหัสแบบ/รุ่น
- วันที่เริ่มใช้รหัสแบบ/รุ่น
- วันที่สิ้นสุดใช้รหัสแบบ/รุ่น
- dropdown list เลือกจำนวนหน้า
- รายการแสดงจำนวนหน้าที่เลือก
- ปุ่มก่อน...ถัดไป</t>
  </si>
  <si>
    <t xml:space="preserve">หน้าจอ การเข้าใช้งานระบบบันทึกรหัสแบบ/รุ่น (PRCE0004)
- เลือกชื่อกลุ่มสินค้า
</t>
  </si>
  <si>
    <t>หน้าจอ การเข้าใช้งานระบบบันทึกรหัสแบบ/รุ่น (PRCE0004)
- เลือกชื่อกลุ่มสินค้า
- กดปุ่ม ตกลง</t>
  </si>
  <si>
    <t>หน้าจอ การเข้าใช้งานระบบบันทึกรหัสแบบ/รุ่น (PRCE0004)
- เลือกชื่อกลุ่มสินค้า
- กดปุ่ม ล้าง</t>
  </si>
  <si>
    <t>หน้าจอ การเข้าใช้งานระบบบันทึกรหัสแบบ/รุ่น (PRCE0004) 
Field บันทึกรายการ
- กรอกรายละเอียด</t>
  </si>
  <si>
    <t>หน้าจอ การเข้าใช้งานระบบบันทึกรหัสแบบ/รุ่น (PRCE0004) 
Field บันทึกรายการ
- กรอก/เลือก ข้อมูล วัน เดือน ปี ที่เริ่มใช้รหัสแบบ/รุ่น</t>
  </si>
  <si>
    <t>สามารถกรอกหรือเลือกข้อมูล วันที่เริ่มใช้รหัสแบบ/รุ่นได้</t>
  </si>
  <si>
    <t>หน้าจอ การเข้าใช้งานระบบบันทึกรหัสแบบ/รุ่น (PRCE0004) 
Field บันทึกรายการ
- กรอก/เลือก ข้อมูล วัน เดือน ปี ที่สิ้นสุดใช้รหัสแบบ/รุ่น</t>
  </si>
  <si>
    <t>สามารถกรอกหรือเลือกข้อมูล วันที่สิ้นสุดใช้รหัสรหัสแบบ/รุ่นได้</t>
  </si>
  <si>
    <t>ทดสอบบันทึกรหัสแบบ/รุ่น(PRCE0004)</t>
  </si>
  <si>
    <t>หน้าจอ การเข้าใช้งานระบบบันทึกรหัสแบบ/รุ่น (PRCE0004) 
- กรอก และ เลือกข้อมูลครบถ้วน
- กดปุ่ม บันทึก</t>
  </si>
  <si>
    <t>หน้าจอ การเข้าใช้งานระบบบันทึกรหัสแบบ/รุ่น (PRCE0004) 
- กดปุ่ม OK</t>
  </si>
  <si>
    <t>สามารถบันทึก รหัสแบบ/รุ่นได้</t>
  </si>
  <si>
    <t>ทดสอบค้นหารหัสแบบ/รุ่น(PRCE0004)</t>
  </si>
  <si>
    <t>หน้าจอ การเข้าใช้งานระบบบันทึกรหัสแบบ/รุ่น (PRCE0004) 
- กรอก หรือ เลือกข้อมูลที่ต้องการค้นหา
- กดปุ่ม ค้นหา</t>
  </si>
  <si>
    <t>สามารถค้นหา รหัสแบบ/รุ่นได้</t>
  </si>
  <si>
    <t>ทดสอบแก้ไขรหัสแบบ/รุ่น(PRCE0004)</t>
  </si>
  <si>
    <t>หน้าจอ การเข้าใช้งานระบบบันทึกรหัสแบบ/รุ่น (PRCE0004) 
- กรอก หรือ เลือกข้อมูลที่ต้องการแก้ไข
- กดปุ่ม ตกลง
- กดปุ่ม ค้นหา
- แสดงข้อมูลที่ค้นหา
- เลือกข้อมูลที่ต้องการแก้ไขจากรายการที่แสดง
- กดปุ่ม บันทึก</t>
  </si>
  <si>
    <t>หน้าจอ การเข้าใช้งานระบบบันทึกรหัสเครื่องหมายการค้ารอง (PRCE0003) 
- กดปุ่ม OK</t>
  </si>
  <si>
    <t>สามารถบันทึกการแก้ไข รหัสเครื่องหมายการค้ารองได้</t>
  </si>
  <si>
    <t>ทดสอบลบรหัสแบบ/รุ่น(PRCE0004)</t>
  </si>
  <si>
    <t xml:space="preserve">หน้าจอ การเข้าใช้งานระบบบันทึกรหัสแบบ/รุ่น (PRCE0004) 
- กรอก หรือ เลือกข้อมูลที่ต้องการลบ
- กดปุ่ม ตกลง
- กดปุ่ม ค้นหา 
- แสดงข้อมูลที่ค้นหา
- เลือกข้อมูลที่ต้องการลบจากรายการที่แสดง
</t>
  </si>
  <si>
    <t>หน้าจอ การเข้าใช้งานระบบบันทึกรหัสแบบ/รุ่น (PRCE0004) 
- กดปุ่ม ลบ</t>
  </si>
  <si>
    <t>สามารถลบ รหัสแบบ/รุ่นได้</t>
  </si>
  <si>
    <t>หน้าจอ การเข้าใช้งานระบบบันทึกรหัสแบบ/รุ่น (PRCE0004) 
- กดปุ่ม Cancel</t>
  </si>
  <si>
    <t>สามารถยกเลิกการลบ รหัสแบบ/รุ่นได้</t>
  </si>
  <si>
    <t>ทดสอบล้างข้อมูลรหัสแบบ/รุ่น(PRCE0004)</t>
  </si>
  <si>
    <t>หน้าจอ การเข้าใช้งานระบบบันทึกรหัสแบบ/รุ่น (PRCE0004) 
- กรอก หรือ เลือกข้อมูลครบถ้วน
- กดปุ่ม ล้างข้อมูล</t>
  </si>
  <si>
    <t>ทดสอบตารางแสดงข้อมูลรหัสแบบ/รุ่น (PRCE0004)</t>
  </si>
  <si>
    <t>หน้าจอ การเข้าใช้งานระบบบันทึกรหัสแบบ/รุ่น (PRCE0004) 
- แสดงรายการข้อมูลที่ค้นหา</t>
  </si>
  <si>
    <t xml:space="preserve">หน้าจอ การเข้าใช้งานระบบบันทึกรหัสแบบ/รุ่น (PRCE0004) 
- Items per page:
- เลือกจำนวนหน้าที่ต้องการแสดงผล
</t>
  </si>
  <si>
    <t xml:space="preserve">หน้าจอ การเข้าใช้งานระบบบันทึกรหัสแบบ/รุ่น (PRCE0004) 
- 0 of 0:
- รายการแสดงจำนวนหน้าที่เลือก
</t>
  </si>
  <si>
    <t>หน้าจอ การเข้าใช้งานระบบบันทึกรหัสแบบ/รุ่น (PRCE0004) 
- ปุ่มก่อน...ถัดไป</t>
  </si>
  <si>
    <t>ตรวจสอบหน้าจอ บันทึกรหัสแบบ/รุ่น</t>
  </si>
  <si>
    <t>ทดสอบไม่เลือก / กรอกชื่อกลุ่มสินค้า (เครื่องหมายการค้าหลัก)</t>
  </si>
  <si>
    <t>หน้าจอ บันทึกรหัสแบบ/รุ่น (เครื่องหมายการค้าหลัก)
- กดปุ่ม ตกลง</t>
  </si>
  <si>
    <t>ระบบแสดงแจ้งเตือน "กรุณาระบุชื่อกลุ่มสินค้า"
ปุ่ม OK</t>
  </si>
  <si>
    <t>ปุ่ม OK</t>
  </si>
  <si>
    <t>ปิดแจ้งเตือน</t>
  </si>
  <si>
    <t>หน้าจอ บันทึกรหัสแบบ/รุ่น (เครื่องหมายการค้าหลัก)
- กดปุ่ม ล้าง</t>
  </si>
  <si>
    <t>สามารถกดปุุ่่มล้างได้</t>
  </si>
  <si>
    <t>หน้าจอ บันทึกรหัสแบบ/รุ่น (เครื่องหมายการค้าหลัก
- กดปุ่ม บันทึก</t>
  </si>
  <si>
    <t>กดปุ่ม OK</t>
  </si>
  <si>
    <t xml:space="preserve">หน้าจอ บันทึกรหัสแบบ/รุ่น (เครื่องหมายการค้าหลัก
- กดปุ่ม ลบ
</t>
  </si>
  <si>
    <t>ระบบแสดงแจ้งเตือน "ต้องการลบข้อมูลหรือไม่?"
ปุ่ม OK และ ปุ่ม Cancel</t>
  </si>
  <si>
    <t xml:space="preserve">ต้องการลบข้อมูลหรือไม่?
กดปุ่ม Cancel
</t>
  </si>
  <si>
    <t>ต้องการลบข้อมูลหรือไม่?
กดปุ่ม OK</t>
  </si>
  <si>
    <t>ระบบแสดงแจ้งเตือน "ลบข้อมูลไม่สำเร็จ โปรดลงใหม่อีกครั้ง"
ปุ่ม OK</t>
  </si>
  <si>
    <t>ลบข้อมูลไม่สำเร็จ โปรดลงใหม่อีกครั้ง
กดปุ่ม OK</t>
  </si>
  <si>
    <t xml:space="preserve">หน้าจอ บันทึกรหัสแบบ/รุ่น (เครื่องหมายการค้าหลัก
- กดปุ่ม ค้นหา
</t>
  </si>
  <si>
    <t>ระบบแสดงข้อมููลทั้งหมดที่มีในระบบ รูปแบบData Table</t>
  </si>
  <si>
    <t xml:space="preserve">หน้าจอ บันทึกรหัสแบบ/รุ่น (เครื่องหมายการค้าหลัก
- กดปุ่ม ล้างข้อมูล
</t>
  </si>
  <si>
    <t>สามารถกดปุุ่่มล้างข้อมูลได้ และ ทำการล้างข้อมูลที่กรอกทั้งหมด</t>
  </si>
  <si>
    <t>ทดสอบเลือก / กรอกชื่อกลุ่มสินค้า (เครื่องหมายการค้าหลัก)</t>
  </si>
  <si>
    <t>หน้าจอ บันทึกรหัสแบบ/รุ่น (เครื่องหมายการค้าหลัก)
- กด Dropdownlist</t>
  </si>
  <si>
    <t>ระบบแสดงข้อมูลชื่อกลุ่มสินค้าที่มีในระบบได้ โดยเรียงตามรหัสกลุ่มสินค้า</t>
  </si>
  <si>
    <t>หน้าจอ บันทึกรหัสแบบ/รุ่น (เครื่องหมายการค้าหลัก)
- กด Dropdownlist
- เลือกข้อมูล ชื่อกลุ่มสินค้า</t>
  </si>
  <si>
    <t>สามารถเลือกข้อมูลชื่อสินค้าได้</t>
  </si>
  <si>
    <t>หน้าจอ บันทึกรหัสแบบ/รุ่น (เครื่องหมายการค้าหลัก)
- กด Dropdownlist
- กรอกข้อมูล ชื่อกลุ่มสินค้า : ภาษาไทย</t>
  </si>
  <si>
    <t>เครื่องดื่ม</t>
  </si>
  <si>
    <t>สามารถกรอกข้อมูลรหัสสินค้าได้ และระบบแสดงข้อมูลชื่อกลุ่มสินค้าที่ทำการค้นหา</t>
  </si>
  <si>
    <t>หน้าจอ บันทึกรหัสแบบ/รุ่น (เครื่องหมายการค้าหลัก)
- กด Dropdownlist
- กรอกข้อมูล ชื่อกลุ่มสินค้า : ภาษาอังกฤษ</t>
  </si>
  <si>
    <t>หน้าจอ บันทึกรหัสแบบ/รุ่น (เครื่องหมายการค้าหลัก)
- กด Dropdownlist
- กรอกข้อมูล ชื่อกลุ่มสินค้า : ตัวเลข</t>
  </si>
  <si>
    <t>หน้าจอ บันทึกรหัสแบบ/รุ่น (เครื่องหมายการค้าหลัก)
- กด Dropdownlist
- กรอกข้อมูล ชื่อกลุ่มสินค้า : อักขระพิเศษ</t>
  </si>
  <si>
    <t>-</t>
  </si>
  <si>
    <t>หน้าจอ บันทึกรหัสแบบ/รุ่น (เครื่องหมายการค้าหลัก)
- กด Dropdownlist
- กรอกข้อมูล ชื่อกลุ่มสินค้า : space bar (ค่าว่าง)</t>
  </si>
  <si>
    <t>หน้าจอ บันทึกรหัสแบบ/รุ่น (เครื่องหมายการค้าหลัก)
- กด Dropdownlist
- กรอกข้อมูล ชื่อกลุ่มสินค้า : ที่มีในระบบ</t>
  </si>
  <si>
    <t>น้ำดื่ม</t>
  </si>
  <si>
    <t>หน้าจอ บันทึกรหัสแบบ/รุ่น (เครื่องหมายการค้าหลัก)
- กด Dropdownlist
- กรอกข้อมูล ชื่อกลุ่มสินค้า : ที่ไม่มีในระบบ</t>
  </si>
  <si>
    <t>ทดสอบ</t>
  </si>
  <si>
    <t>ระบบแสดงข้อความ "No results found"</t>
  </si>
  <si>
    <t>หน้าจอ บันทึกรหัสแบบ/รุ่น (เครื่องหมายการค้าหลัก)
- กด Dropdownlist
- เลือก / กรอกข้อมูล ชื่อกลุ่มสินค้า 
- กดปุ่ม ตกลง</t>
  </si>
  <si>
    <t>สามารถบันทึกข้อมูลชื่อกลุ่มสินค้าได้</t>
  </si>
  <si>
    <t>หน้าจอ บันทึกรหัสแบบ/รุ่น (เครื่องหมายการค้าหลัก)
- กด Dropdownlist
- เลือก / กรอกข้อมูล ชื่อกลุ่มสินค้า 
- กดปุ่ม ล้าง</t>
  </si>
  <si>
    <t>ระบบทำการล้างข้อมูลที่เลือก / กรอกทั้งหมด</t>
  </si>
  <si>
    <t>ทดสอบไม่เลือก / กรอกเงื่อนไขบันทึกรายการ (บันทึกรายการ)</t>
  </si>
  <si>
    <t xml:space="preserve">หน้าจอ บันทึกรหัสแบบ/รุ่น (บันทึกรายการ)
- กดปุ่ม บันทึก
</t>
  </si>
  <si>
    <t>ระบบแสดงแจ้งเตือน "กรุณากรอกข้อมูล รายละเอียดแบบ/รุ่น, และวันที่เริ่มใช้รหัสแบบ/รุ่นให้ครบ"
ปุ่ม OK</t>
  </si>
  <si>
    <t xml:space="preserve">หน้าจอ บันทึกรหัสแบบ/รุ่น (บันทึกรายการ)
- กดปุ่ม ลบ
</t>
  </si>
  <si>
    <t xml:space="preserve">หน้าจอ บันทึกรหัสแบบ/รุ่น (บันทึกรายการ)
- กดปุ่ม ค้นหา
</t>
  </si>
  <si>
    <t xml:space="preserve">หน้าจอ บันทึกรหัสแบบ/รุ่น (บันทึกรายการ)
- กดปุ่ม ล้างข้อมูล
</t>
  </si>
  <si>
    <t>สามารถกดปุุ่่มล้างข้อมูลได้</t>
  </si>
  <si>
    <t>ทดสอบเลือก / กรอกเงื่อนไขบันทึกรายการบางส่วน (บันทึกรายการ)</t>
  </si>
  <si>
    <t>หน้าจอ บันทึกรหัสแบบ/รุ่น (บันทึกรายการ)
- กรอกข้อมูล รายละเอียด
- กดปุ่ม บันทึก</t>
  </si>
  <si>
    <t>ระบบแสดงแจ้งเตือน "กรุณากรอกข้อมูล วันที่เริ่มใช้รหัสแบบ/รุ่นให้ครบ"
ปุ่ม OK</t>
  </si>
  <si>
    <t>หน้าจอ บันทึกรหัสแบบ/รุ่น (บันทึกรายการ)
- เลือก/กรอกข้อมูล วันที่เริ่มใช้รหัสแบบ/รุ่น
- กดปุ่ม บันทึก</t>
  </si>
  <si>
    <t>ระบบแสดงแจ้งเตือน "กรุณากรอกข้อมูล รายละเอียดแบบ/รุ่น"
ปุ่ม OK</t>
  </si>
  <si>
    <t>หน้าจอ บันทึกรหัสแบบ/รุ่น (บันทึกรายการ)
- เลือก/กรอกข้อมูล วันที่สิ้นสุดใช้รหัสแบบ/รุ่น
- กดปุ่ม บันทึก</t>
  </si>
  <si>
    <t>หน้าจอ บันทึกรหัสแบบ/รุ่น (บันทึกรายการ)
- กรอกข้อมูล รายละเอียด
- เลือก/กรอกข้อมูล วันที่เริ่มใช้รหัสแบบ/รุ่น
- กดปุ่ม บันทึก</t>
  </si>
  <si>
    <t>ระบบแสดงแจ้งเตือน "บันทึกข้อมูลเรียบร้อยแล้ว"
ปุ่ม OK</t>
  </si>
  <si>
    <t>หน้าจอ บันทึกรหัสแบบ/รุ่น (บันทึกรายการ)
- กรอกข้อมูล รายละเอียด
- เลือก/กรอกข้อมูล วันที่สิ้นสุดใช้รหัสแบบ/รุ่น
- กดปุ่ม บันทึก</t>
  </si>
  <si>
    <t>ระบบแสดงแจ้งเตือน "กรุณากรอกข้อมูล วันที่เริ่มใช้รหัสแบบ/รุ่น"
ปุ่ม OK</t>
  </si>
  <si>
    <t>หน้าจอ บันทึกรหัสแบบ/รุ่น (บันทึกรายการ)
- เลือก/กรอกข้อมูล วันที่เริ่มใช้รหัสแบบ/รุ่น
- เลือก/กรอกข้อมูล วันที่สิ้นสุดใช้รหัสแบบ/รุ่น
- กดปุ่ม บันทึก</t>
  </si>
  <si>
    <t>ทดสอบเลือก / กรอกเงื่อนไขบันทึกรายการครบถ้วน (บันทึกรายการ)</t>
  </si>
  <si>
    <t>หน้าจอ บันทึกรหัสแบบ/รุ่น (บันทึกรายการ)
- กรอกข้อมูล รายละเอียด ภาษาไทย</t>
  </si>
  <si>
    <t>สามารถกรอกข้อมููลรายละเอียดได้</t>
  </si>
  <si>
    <t>หน้าจอ บันทึกรหัสแบบ/รุ่น (บันทึกรายการ)
- กรอกข้อมูล รายละเอียด ภาษาอังกฤษ</t>
  </si>
  <si>
    <t>test</t>
  </si>
  <si>
    <t>หน้าจอ บันทึกรหัสแบบ/รุ่น (บันทึกรายการ)
- กรอกข้อมูล รายละเอียด ตัวเลข</t>
  </si>
  <si>
    <t>หน้าจอ บันทึกรหัสแบบ/รุ่น (บันทึกรายการ)
- กรอกข้อมูล รายละเอียด อักขระพิเศษ</t>
  </si>
  <si>
    <t>!@#$%</t>
  </si>
  <si>
    <t>หน้าจอ บันทึกรหัสแบบ/รุ่น (บันทึกรายการ)
- กรอกข้อมูล รายละเอียด space bar (ค่าว่าง)</t>
  </si>
  <si>
    <t>สามารถกรอกข้อมููลรายละเอียดได้ หลังจากกดบันทึก ระบบแสดงแจ้งเตือน "ไม่พบข้อมูล โปรดลองใหม่อีกครั้ง"
ปุ่ม OK</t>
  </si>
  <si>
    <t>หน้าจอ บันทึกรหัสแบบ/รุ่น (บันทึกรายการ)
- กรอกข้อมูล รายละเอียด Max length</t>
  </si>
  <si>
    <t>หน้าจอ บันทึกรหัสแบบ/รุ่น (บันทึกรายการ)
- เลือกข้อมูล วันที่เริ่มใช้รหัสแบบ/รุ่น</t>
  </si>
  <si>
    <t>สามารถเลืือกข้อมูลวันที่เริ่มใช้รหัสแบบ/รุ่นได้</t>
  </si>
  <si>
    <t>หน้าจอ บันทึกรหัสแบบ/รุ่น (บันทึกรายการ)
- กรอกข้อมูล วันที่เริ่มใช้รหัสแบบ/รุ่น ภาษาไทย</t>
  </si>
  <si>
    <t>ไม่สามารถกรอกข้อมูลวันที่เริ่มใช้รหัสแบบ/รุ่นได้ ระบบ Default เป็นวันที่ปัจจุบัน</t>
  </si>
  <si>
    <t>หน้าจอ บันทึกรหัสแบบ/รุ่น (บันทึกรายการ)
- กรอกข้อมูล วันที่เริ่มใช้รหัสแบบ/รุ่น ภาษาอังกฤษ</t>
  </si>
  <si>
    <t>หน้าจอ บันทึกรหัสแบบ/รุ่น (บันทึกรายการ)
- กรอกข้อมูล วันที่เริ่มใช้รหัสแบบ/รุ่น ตัวเลข ตาม Format</t>
  </si>
  <si>
    <t>สามารถกรอกข้อมูลวันที่เริ่มใช้รหัสแบบ/รุ่นได้</t>
  </si>
  <si>
    <t>หน้าจอ บันทึกรหัสแบบ/รุ่น (บันทึกรายการ)
- กรอกข้อมูล วันที่เริ่มใช้รหัสแบบ/รุ่น ตัวเลข ไม่ตาม Format</t>
  </si>
  <si>
    <t>หน้าจอ บันทึกรหัสแบบ/รุ่น (บันทึกรายการ)
- กรอกข้อมูล วันที่เริ่มใช้รหัสแบบ/รุ่น อักขระพิเศษ</t>
  </si>
  <si>
    <t>@!#$%^^</t>
  </si>
  <si>
    <t>หน้าจอ บันทึกรหัสแบบ/รุ่น (บันทึกรายการ)
- กรอกข้อมูล วันที่เริ่มใช้รหัสแบบ/รุ่น space bar (ค่าว่าง)</t>
  </si>
  <si>
    <t>หน้าจอ บันทึกรหัสแบบ/รุ่น (บันทึกรายการ)
- กรอกข้อมูล วันที่เริ่มใช้รหัสแบบ/รุ่น Max length</t>
  </si>
  <si>
    <t>หน้าจอ บันทึกรหัสแบบ/รุ่น (บันทึกรายการ)
- เลือกข้อมูล วันที่สิ้นสุดใช้รหัสแบบ/รุ่น</t>
  </si>
  <si>
    <t>สามารถเลืือกข้อมูลวันที่สิ้นสุดใช้รหัสแบบ/รุ่นได้</t>
  </si>
  <si>
    <t>หน้าจอ บันทึกรหัสแบบ/รุ่น (บันทึกรายการ)
- กรอกข้อมูล วันที่สิ้นสุดใช้รหัสแบบ/รุ่น ภาษาไทย</t>
  </si>
  <si>
    <t>ไม่สามารถกรอกข้อมูลวันที่สิ้นสุดใช้รหัสแบบ/รุ่นได้ ระบบ Default เป็นวันที่ปัจจุบัน</t>
  </si>
  <si>
    <t>หน้าจอ บันทึกรหัสแบบ/รุ่น (บันทึกรายการ)
- กรอกข้อมูล วันที่สิ้นสุดใช้รหัสแบบ/รุ่น ภาษาอังกฤษ</t>
  </si>
  <si>
    <t>หน้าจอ บันทึกรหัสแบบ/รุ่น (บันทึกรายการ)
- กรอกข้อมูล วันที่สิ้นสุดใช้รหัสแบบ/รุ่น ตัวเลข ตาม Format</t>
  </si>
  <si>
    <t>สามารถกรอกข้อมูลวันที่สิ้นสุดใช้รหัสแบบ/รุ่นได้</t>
  </si>
  <si>
    <t>หน้าจอ บันทึกรหัสแบบ/รุ่น (บันทึกรายการ)
- กรอกข้อมูล วันที่สิ้นสุดใช้รหัสแบบ/รุ่น ตัวเลข ไม่ตาม Format</t>
  </si>
  <si>
    <t>หน้าจอ บันทึกรหัสแบบ/รุ่น (บันทึกรายการ)
- กรอกข้อมูล วันที่สิ้นสุดใช้รหัสแบบ/รุ่น อักขระพิเศษ</t>
  </si>
  <si>
    <t>หน้าจอ บันทึกรหัสแบบ/รุ่น (บันทึกรายการ)
- กรอกข้อมูล วันที่สิ้นสุดใช้รหัสแบบ/รุ่น space bar (ค่าว่าง)</t>
  </si>
  <si>
    <t>หน้าจอ บันทึกรหัสแบบ/รุ่น (บันทึกรายการ)
- กรอกข้อมูล วันที่สิ้นสุดใช้รหัสแบบ/รุ่น Max length</t>
  </si>
  <si>
    <t>หน้าจอ บันทึกรหัสแบบ/รุ่น (บันทึกรายการ)
- กรอกข้อมูลครบถ้วน
- กดปุ่ม บันทึก</t>
  </si>
  <si>
    <t xml:space="preserve">หน้าจอ บันทึกรหัสแบบ/รุ่น (บันทึกรายการ)
- กรอกข้อมูลครบถ้วน
- กดปุ่ม ลบ
</t>
  </si>
  <si>
    <t xml:space="preserve">หน้าจอ บันทึกรหัสแบบ/รุ่น (บันทึกรายการ)
- กรอกข้อมูลครบถ้วน
- กดปุ่ม ค้นหา
</t>
  </si>
  <si>
    <t xml:space="preserve">หน้าจอ บันทึกรหัสแบบ/รุ่น (บันทึกรายการ)
- กรอกข้อมูลครบถ้วน
- กดปุ่ม ล้างข้อมูล
</t>
  </si>
  <si>
    <t>ทดสอบแก้ไขข้อมูล บันทึกรหัสแบบ/รุ่น</t>
  </si>
  <si>
    <t>หน้าจอ บันทึกรหัสแบบ/รุ่น (บันทึกรายการ)
- กดปุ่ม ค้นหา</t>
  </si>
  <si>
    <t>หน้าจอ บันทึกรหัสแบบ/รุ่น (บันทึกรายการ)
- กดปุ่ม ค้นหา
- เลือกข้อมูลที่ต้องการแก้ไข</t>
  </si>
  <si>
    <t>ระบบแสดงรายละเอียดทั้งหมดของข้อมููลที่เลือก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</si>
  <si>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รายละเอียด ภาษาไทย</t>
  </si>
  <si>
    <t>ทดสอบ1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</si>
  <si>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รายละเอียด ภาษาอังกฤษ</t>
  </si>
  <si>
    <t>test1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</si>
  <si>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รายละเอียด ตัวเลข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</si>
  <si>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รายละเอียด อักขระพิเศษ</t>
  </si>
  <si>
    <t>!@#$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</si>
  <si>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รายละเอียด space bar (ค่าว่าง)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</si>
  <si>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รายละเอียด Max length</t>
  </si>
  <si>
    <t>หน้าจอ บันทึกรหัสแบบ/รุ่น (บันทึกรายการ)
- กดปุ่ม ค้นหา
- เลือกข้อมูลที่ต้องการแก้ไข
- แก้ไข้เลือกข้อมูล วันที่เริ่มใช้รหัสแบบ/รุ่น ภาษาไทย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</si>
  <si>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วันที่เริ่มใช้รหัสแบบ/รุ่น ภาษาไทย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</si>
  <si>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วันที่เริ่มใช้รหัสแบบ/รุ่น ภาษาอังกฤษ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</si>
  <si>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วันที่เริ่มใช้รหัสแบบ/รุ่น ตัวเลข ตาม Format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</si>
  <si>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วันที่เริ่มใช้รหัสแบบ/รุ่น ตัวเลข ไม่ตาม Format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</si>
  <si>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วันที่เริ่มใช้รหัสแบบ/รุ่น อักขระพิเศษ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</si>
  <si>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วันที่เริ่มใช้รหัสแบบ/รุ่น space bar (ค่าว่าง)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</si>
  <si>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วันที่เริ่มใช้รหัสแบบ/รุ่น Max length</t>
  </si>
  <si>
    <t>หน้าจอ บันทึกรหัสแบบ/รุ่น (บันทึกรายการ)
- กดปุ่ม ค้นหา
- เลือกข้อมูลที่ต้องการแก้ไข
- แก้ไข้เลือกข้อมูล วันที่สิ้นสุดใช้รหัสแบบ/รุ่น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</si>
  <si>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วันที่สิ้นสุดใช้รหัสแบบ/รุ่น ภาษาไทย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</si>
  <si>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วันที่สิ้นสุดใช้รหัสแบบ/รุ่น ภาษาอังกฤษ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</si>
  <si>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วันที่สิ้นสุดใช้รหัสแบบ/รุ่น ตัวเลข ตาม Format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</si>
  <si>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วันที่สิ้นสุดใช้รหัสแบบ/รุ่น ตัวเลข ไม่ตาม Format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</si>
  <si>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วันที่สิ้นสุดใช้รหัสแบบ/รุ่น อักขระพิเศษ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</si>
  <si>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วันที่สิ้นสุดใช้รหัสแบบ/รุ่น space bar (ค่าว่าง)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</si>
  <si>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วันที่สิ้นสุดใช้รหัสแบบ/รุ่น Max length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</si>
  <si>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แก้ไข้ข้อมูลครบถ้วน
- กดปุ่ม บันทึก</t>
  </si>
  <si>
    <t xml:space="preserve">หน้าจอ บันทึกรหัสแบบ/รุ่น (บันทึกรายการ)
- กดปุ่ม ค้นหา
- เลือกข้อมูลที่ต้องการแก้ไข
- แก้ไข้ข้อมูลครบถ้วน
- กดปุ่ม ลบ
</t>
  </si>
  <si>
    <t>ระบบแสดงแจ้งเตือน "ลบข้อมูลเรียบร้อยแล้ว"
ปุ่ม OK</t>
  </si>
  <si>
    <t xml:space="preserve">หน้าจอ บันทึกรหัสแบบ/รุ่น (บันทึกรายการ)
- กดปุ่ม ค้นหา
- เลือกข้อมูลที่ต้องการแก้ไข
- แก้ไข้ข้อมูลครบถ้วน
- กดปุ่ม ค้นหา
</t>
  </si>
  <si>
    <t>ระบบแสดงข้อมููลทั้งหมดที่มีในระบบ รูปแบบData Tabel</t>
  </si>
  <si>
    <t xml:space="preserve">หน้าจอ บันทึกรหัสแบบ/รุ่น (บันทึกรายการ)
- กดปุ่ม ค้นหา
- เลือกข้อมูลที่ต้องการแก้ไข
- แก้ไข้ข้อมูลครบถ้วน
- กดปุ่ม ล้างข้อมูล
</t>
  </si>
  <si>
    <t>ทดสอบค้นหาข้อมูล บันทึกรหัสแบบ/รุ่น</t>
  </si>
  <si>
    <t>หน้าจอ บันทึกรหัสแบบ/รุ่น (บันทึกรายการ)
- กรอกข้อมูล รายละเอียด ภาษาไทย
- กดปุ่ม ค้นหา</t>
  </si>
  <si>
    <t>สามารถค้นหาข้อมูล และระบบแสดงข้อมููลที่ค้นหา</t>
  </si>
  <si>
    <t>หน้าจอ บันทึกรหัสแบบ/รุ่น (บันทึกรายการ)
- กรอกข้อมูล รายละเอียด ภาษาอังกฤษ
- กดปุ่ม ค้นหา</t>
  </si>
  <si>
    <t>หน้าจอ บันทึกรหัสแบบ/รุ่น (บันทึกรายการ)
- กรอกข้อมูล รายละเอียด ตัวเลข
- กดปุ่ม ค้นหา</t>
  </si>
  <si>
    <t>หน้าจอ บันทึกรหัสแบบ/รุ่น (บันทึกรายการ)
- กรอกข้อมูล รายละเอียด อักขระพิเศษ
- กดปุ่ม ค้นหา</t>
  </si>
  <si>
    <t>หน้าจอ บันทึกรหัสแบบ/รุ่น (บันทึกรายการ)
- กรอกข้อมูล รายละเอียด space bar (ค่าว่าง)
- กดปุ่ม ค้นหา</t>
  </si>
  <si>
    <t>สามารถค้นหาข้อมูล และระบบแสดงข้อมููลที่ั้งหมดที่มีในระบบ</t>
  </si>
  <si>
    <t>หน้าจอ บันทึกรหัสแบบ/รุ่น (บันทึกรายการ)
- กรอกข้อมูล รายละเอียด ที่มีในระบบ
- กดปุ่ม ค้นหา</t>
  </si>
  <si>
    <t>หน้าจอ บันทึกรหัสแบบ/รุ่น (บันทึกรายการ)
- กรอกข้อมูล รายละเอียด ที่ไม่มีในระบบ
- กดปุ่ม ค้นหา</t>
  </si>
  <si>
    <t>ทดลอง</t>
  </si>
  <si>
    <t>ระบบแสดงแจ้งเตือน "ไม่พบข้อมูล โปรดลองใหม่อีกครั้ง"
ปุ่ม OK</t>
  </si>
  <si>
    <t>หน้าจอ บันทึกรหัสแบบ/รุ่น (บันทึกรายการ)
- เลือกข้อมูล วันที่เริ่มใช้รหัสแบบ/รุ่น
- กดปุ่ม ค้นหา</t>
  </si>
  <si>
    <t>หน้าจอ บันทึกรหัสแบบ/รุ่น (บันทึกรายการ)
- กรอกข้อมูล วันที่เริ่มใช้รหัสแบบ/รุ่น ที่มีในระบบ
- กดปุ่ม ค้นหา</t>
  </si>
  <si>
    <t>หน้าจอ บันทึกรหัสแบบ/รุ่น (บันทึกรายการ)
- กรอกข้อมูล วันที่เริ่มใช้รหัสแบบ/รุ่น ที่ไม่มีในระบบ
- กดปุ่ม ค้นหา</t>
  </si>
  <si>
    <t>หน้าจอ บันทึกรหัสแบบ/รุ่น (บันทึกรายการ)
- กรอกข้อมูล วันที่สิ้นสุดใช้รหัสแบบ/รุ่น ที่มีในระบบ</t>
  </si>
  <si>
    <t>หน้าจอ บันทึกรหัสแบบ/รุ่น (บันทึกรายการ)
- กรอกข้อมูล วันที่สิ้นสุดใช้รหัสแบบ/รุ่น ที่ไม่มีในระบบ</t>
  </si>
  <si>
    <t>ทดสอบลบข้อมูล บันทึกรหัสแบบ/รุ่น</t>
  </si>
  <si>
    <t>หน้าจอ บันทึกรหัสแบบ/รุ่น (บันทึกรายการ)
- กดปุ่ม ค้นหา
- เลือกข้อมูลที่ต้องการลบ</t>
  </si>
  <si>
    <t>ระบบแสดงข้อมููลที่ต้องการลบ</t>
  </si>
  <si>
    <t>หน้าจอ บันทึกรหัสแบบ/รุ่น (บันทึกรายการ)
- กดปุ่ม ค้นหา
- เลือกข้อมูลที่ต้องการลบ
- กดปุ่ม ลบ</t>
  </si>
  <si>
    <t>ต้องการลบข้อมูลหรือไม่?
กดปุ่ม Cancel</t>
  </si>
  <si>
    <t>ตรวจสอบตารางแสดงผล</t>
  </si>
  <si>
    <t>ตรวจสอบหัวตารางแสดงผล รหัสแบบ/รุ่น</t>
  </si>
  <si>
    <t>ระบบแสดงหัวตารางแสดงผล รหัสแสดงแบบ/รุ่น ได้ถูกต้อง</t>
  </si>
  <si>
    <t>ตรวจสอบหัวตารางแสดงผล รายละเอียดรหัสแบบ/รุ่น</t>
  </si>
  <si>
    <t>ระบบแสดงหัวตารางแสดงผล รายละเอียดรหัสแบบ/รุ่น ได้ถูกต้อง</t>
  </si>
  <si>
    <t>ตรวจสอบหัวตารางแสดงผล วันที่เริ่มใช้รหัส</t>
  </si>
  <si>
    <t>ระบบแสดงหัวตารางแสดงผล วันที่เริ่มใช้รหัส ได้ถูกต้อง</t>
  </si>
  <si>
    <t>ตรวจสอบหัวตารางแสดงผล วันที่สิ้นสุดใช้รหัส</t>
  </si>
  <si>
    <t>ระบบแสดงหัวตารางแสดงผล วันที่สิ้นสุดใช้รหัส ได้ถูกต้อง</t>
  </si>
  <si>
    <t>ตรวจสอบข้อมูล รหัสแบบ/รุ่น</t>
  </si>
  <si>
    <t>ระบบแสดงข้อมูล รหัสแบบ/รุ่น ได้ถูกต้อง</t>
  </si>
  <si>
    <t>ตรวจสอบข้อมูล รายละเอียดรหัสแบบ/รุ่น</t>
  </si>
  <si>
    <t>ระบบแสดงข้อมูล รายละเอียดรหัสแบบ/รุ่น ได้ถูกต้อง</t>
  </si>
  <si>
    <t>ตรวจสอบข้อมูล วันที่เริ่มใช้รหัส</t>
  </si>
  <si>
    <t>ระบบแสดงข้อมูล วันที่เริ่มใช้รหัส ได้ถูกต้อง</t>
  </si>
  <si>
    <t>ตรวจสอบข้อมูล วันที่สิ้นสุดใช้รหัส</t>
  </si>
  <si>
    <t>ระบบแสดงข้อมูล วันที่สิ้นสุดใช้รหัส ได้ถูกต้อง</t>
  </si>
  <si>
    <t>ตรวจสอบ Items per page</t>
  </si>
  <si>
    <t>ระบบสามารถแสดงข้อมูลตาม Items per page ที่เลือกได้ถูกต้อง</t>
  </si>
  <si>
    <t>ตรวจสอบ First page |&lt;</t>
  </si>
  <si>
    <t>สามารถกด First page |&lt;</t>
  </si>
  <si>
    <t>ตรวจสอบ Previous page &lt;</t>
  </si>
  <si>
    <t>สามารถกด Previous page &lt;</t>
  </si>
  <si>
    <t>ตรวจสอบ Next page &gt;</t>
  </si>
  <si>
    <t>สามารถกด Next page &gt; ได้</t>
  </si>
  <si>
    <t>ตรวจสอบ Last page &gt;|</t>
  </si>
  <si>
    <t>สามารถกด Last page &gt;| ได้</t>
  </si>
  <si>
    <t>ตรวจสอบ Version และ วันที่ Updated</t>
  </si>
  <si>
    <t>ตรวจสอบ Version</t>
  </si>
  <si>
    <t>ระบบแสดงรูปแบบ Version: x.x.xx</t>
  </si>
  <si>
    <t>ตรวจสอบ วันที่ Updated</t>
  </si>
  <si>
    <t>ระบบแสดงรูปแบบ dd-Mount-yyy hh:mm:ss</t>
  </si>
  <si>
    <t>หน้าจอ กรมสรรพสามิตร
- กดปุ่ม/Tab บันทึกรหัสขนาด</t>
  </si>
  <si>
    <t>http://13.250.227.94:7001/modelsize</t>
  </si>
  <si>
    <t>ระบบแสดงหน้าจอ บันทึกรหัสขนาด ประกอบด้วย :
1. บันทึกรหัสขนาด
- ชื่อกลุ่มสินค้า
- ปุ่มตกลง
- ปุ่มล้าง
2. บันทึกรายการ
- รหัสขนาดสินค้า
- รายละเอียด
- หน่วยสินค้าที่ใช้
- วันที่เริ่มใช้รหัสขนาด
- วันที่สิ้นสุดใช้รหัสขนาด
- ปุ่มบันทึก
- ปุ่มลบ
- ปุ่มค้นหา
- ปุ่มล้างข้อมูล
3. ตารางแสดงผลข้อมูล
- รหัสแบบรุ่น 
- รายละเอียดรหัสแบบรุ่น
- วันที่เริ่มใช้รหัสแบบรุ่น
- วันที่สิ้นสุดใช้รหัสแบบรุ่น
- dropdown list เลือกจำนวนหน้า
- รายการแสดงจำนวนหน้าที่เลือก
- ปุ่มก่อน...ถัดไป</t>
  </si>
  <si>
    <t>หน้าจอ การเข้าใช้งานระบบบันทึกรหัสขนาด (PRCE0005) 
- กดปุ่ม OK</t>
  </si>
  <si>
    <t>สามารถบันทึก รหัสแบบรุ่นได้</t>
  </si>
  <si>
    <t>หน้าจอ การเข้าใช้งานระบบบันทึกรหัสขนาด (PRCE0005) 
- กรอก หรือ เลือกข้อมูลที่ต้องการค้นหา
- กดปุ่ม ค้นหา</t>
  </si>
  <si>
    <t>สามารถค้นหาข้อมูลได้</t>
  </si>
  <si>
    <t>สามารถบันทึกการแก้ไข รหัสขนาดได้</t>
  </si>
  <si>
    <t>หน้าจอ การเข้าใช้งานระบบบันทึกรหัสขนาด (PRCE0005) 
- กดปุ่ม Cancel</t>
  </si>
  <si>
    <t>สามารถยกเลิกการลบ รหัสขนาดได้</t>
  </si>
  <si>
    <t>หน้าจอ การเข้าใช้งานระบบบันทึกรหัสขนาด (PRCE0005) 
- กรอก หรือ เลือกข้อมูลครบถ้วน
- กดปุ่ม ล้างข้อมูล</t>
  </si>
  <si>
    <t>หน้าจอ การเข้าใช้งานระบบบันทึกรหัสขนาด (PRCE0005) 
- แสดงรายการข้อมูลที่ค้นหา</t>
  </si>
  <si>
    <t xml:space="preserve">หน้าจอ การเข้าใช้งานระบบบันทึกรหัสขนาด (PRCE0005) 
- Items per page:
- เลือกจำนวนหน้าที่ต้องการแสดงผล
</t>
  </si>
  <si>
    <t xml:space="preserve">หน้าจอ การเข้าใช้งานระบบบันทึกรหัสขนาด (PRCE0005) 
- 0 of 0:
- รายการแสดงจำนวนหน้าที่เลือก
</t>
  </si>
  <si>
    <t>ตรวจสอบหน้าจอ บันทึกรหัสขนาด</t>
  </si>
  <si>
    <t>หน้าจอ บันทึกรหัสขนาด (เครื่องหมายการค้าหลัก)
- กดปุ่ม ตกลง</t>
  </si>
  <si>
    <t>หน้าจอ บันทึกรหัสขนาด (เครื่องหมายการค้าหลัก)
- กดปุ่ม ล้าง</t>
  </si>
  <si>
    <t>หน้าจอ บันทึกรหัสขนาด (เครื่องหมายการค้าหลัก
- กดปุ่ม บันทึก</t>
  </si>
  <si>
    <t xml:space="preserve">หน้าจอ บันทึกรหัสขนาด (เครื่องหมายการค้าหลัก
- กดปุ่ม ลบ
</t>
  </si>
  <si>
    <t xml:space="preserve">หน้าจอ บันทึกรหัสขนาด (เครื่องหมายการค้าหลัก
- กดปุ่ม ค้นหา
</t>
  </si>
  <si>
    <t xml:space="preserve">หน้าจอ บันทึกรหัสขนาด (เครื่องหมายการค้าหลัก
- กดปุ่ม ล้างข้อมูล
</t>
  </si>
  <si>
    <t>หน้าจอ บันทึกรหัสขนาด (เครื่องหมายการค้าหลัก)
- กด Dropdownlist</t>
  </si>
  <si>
    <t>หน้าจอ บันทึกรหัสขนาด (เครื่องหมายการค้าหลัก)
- กด Dropdownlist
- เลือกข้อมูล ชื่อกลุ่มสินค้า</t>
  </si>
  <si>
    <t>หน้าจอ บันทึกรหัสขนาด (เครื่องหมายการค้าหลัก)
- กด Dropdownlist
- กรอกข้อมูล ชื่อกลุ่มสินค้า : ภาษาไทย</t>
  </si>
  <si>
    <t>เรือ</t>
  </si>
  <si>
    <t>หน้าจอ บันทึกรหัสขนาด (เครื่องหมายการค้าหลัก)
- กด Dropdownlist
- กรอกข้อมูล ชื่อกลุ่มสินค้า : ภาษาอังกฤษ</t>
  </si>
  <si>
    <t>หน้าจอ บันทึกรหัสขนาด (เครื่องหมายการค้าหลัก)
- กด Dropdownlist
- กรอกข้อมูล ชื่อกลุ่มสินค้า : ตัวเลข</t>
  </si>
  <si>
    <t>หน้าจอ บันทึกรหัสขนาด (เครื่องหมายการค้าหลัก)
- กด Dropdownlist
- กรอกข้อมูล ชื่อกลุ่มสินค้า : อักขระพิเศษ</t>
  </si>
  <si>
    <t>หน้าจอ บันทึกรหัสขนาด (เครื่องหมายการค้าหลัก)
- กด Dropdownlist
- กรอกข้อมูล ชื่อกลุ่มสินค้า : space bar (ค่าว่าง)</t>
  </si>
  <si>
    <t>หน้าจอ บันทึกรหัสขนาด (เครื่องหมายการค้าหลัก)
- กด Dropdownlist
- กรอกข้อมูล ชื่อกลุ่มสินค้า : ที่มีในระบบ</t>
  </si>
  <si>
    <t>หน้าจอ บันทึกรหัสขนาด (เครื่องหมายการค้าหลัก)
- กด Dropdownlist
- กรอกข้อมูล ชื่อกลุ่มสินค้า : ที่ไม่มีในระบบ</t>
  </si>
  <si>
    <t>หน้าจอ บันทึกรหัสขนาด (เครื่องหมายการค้าหลัก)
- กด Dropdownlist
- เลือก / กรอกข้อมูล ชื่อกลุ่มสินค้า 
- กดปุ่ม บันทึก</t>
  </si>
  <si>
    <t>หน้าจอ บันทึกรหัสขนาด (เครื่องหมายการค้าหลัก)
- กด Dropdownlist
- เลือก / กรอกข้อมูล ชื่อกลุ่มสินค้า 
- กดปุ่ม ล้าง</t>
  </si>
  <si>
    <t xml:space="preserve">หน้าจอ บันทึกรหัสขนาด (บันทึกรายการ)
- กดปุ่ม บันทึก
</t>
  </si>
  <si>
    <t>ระบบแสดงแจ้งเตือน "กรุณากรอกข้อมูล รายละเอียด, หน่วยสินค้าที่ใช้, และวันที่เริ่มใช้รหัสขนาด"
ปุ่ม OK</t>
  </si>
  <si>
    <t xml:space="preserve">หน้าจอ บันทึกรหัสขนาด (บันทึกรายการ)
- กดปุ่ม ลบ
</t>
  </si>
  <si>
    <t xml:space="preserve">หน้าจอ บันทึกรหัสขนาด (บันทึกรายการ)
- กดปุ่ม ค้นหา
</t>
  </si>
  <si>
    <t xml:space="preserve">หน้าจอ บันทึกรหัสขนาด (บันทึกรายการ)
- กดปุ่ม ล้างข้อมูล
</t>
  </si>
  <si>
    <t>หน้าจอ บันทึกรหัสขนาด (บันทึกรายการ)
- กรอกข้อมูล รายละเอียด
- กดปุ่ม บันทึก</t>
  </si>
  <si>
    <t>ระบบแสดงแจ้งเตือน "กรุณากรอกข้อมูล หน่วยสินค้าที่ใช้, และวันที่เริ่มใช้รหัสขนาด"
ปุ่ม OK</t>
  </si>
  <si>
    <t>หน้าจอ บันทึกรหัสขนาด (บันทึกรายการ)
- เลือก/กรอกข้อมูล หน่วยสินค้าที่ใช้
- กดปุ่ม บันทึก</t>
  </si>
  <si>
    <t>ระบบแสดงแจ้งเตือน "กรุณากรอกข้อมูล รายละเอียด, และวันที่เริ่มใช้รหัสขนาด"
ปุ่ม OK</t>
  </si>
  <si>
    <t>หน้าจอ บันทึกรหัสขนาด (บันทึกรายการ)
- เลือก/กรอกข้อมูล วันที่เริ่มใช้รหัสขนาด
- กดปุ่ม บันทึก</t>
  </si>
  <si>
    <t>ระบบแสดงแจ้งเตือน "กรุณากรอกข้อมูล ประเภทสินค้า, รายละเอียด, และหน่วยสินค้าที่ใช้"
ปุ่ม OK</t>
  </si>
  <si>
    <t>หน้าจอ บันทึกรหัสขนาด (บันทึกรายการ)
- เลือก/กรอกข้อมูล วันที่สิ้นสุดใช้รหัสขนาด
- กดปุ่ม บันทึก</t>
  </si>
  <si>
    <t>หน้าจอ บันทึกรหัสขนาด (บันทึกรายการ)
- กรอกข้อมูล รายละเอียด
- เลือก/กรอกข้อมูล หน่วยสินค้าที่ใช้
- กดปุ่ม บันทึก</t>
  </si>
  <si>
    <t>ระบบแสดงแจ้งเตือน "กรุณากรอกข้อมูล วันที่เริ่มใช้รหัสขนาด"
ปุ่ม OK</t>
  </si>
  <si>
    <t>หน้าจอ บันทึกรหัสขนาด (บันทึกรายการ)
- กรอกข้อมูล รายละเอียด
- เลือก/กรอกข้อมูล วันที่เริ่มใช้รหัสขนาด
- กดปุ่ม บันทึก</t>
  </si>
  <si>
    <t>ระบบแสดงแจ้งเตือน "กรุณากรอกข้อมูล หน่วยสินค้าที่ใช้"
ปุ่ม OK</t>
  </si>
  <si>
    <t>หน้าจอ บันทึกรหัสขนาด (บันทึกรายการ)
- กรอกข้อมูล รายละเอียด
- เลือก/กรอกข้อมูล วันที่สิ้นสุดใช้รหัสขนาด
- กดปุ่ม บันทึก</t>
  </si>
  <si>
    <t>หน้าจอ บันทึกรหัสขนาด (บันทึกรายการ)
- เลือก/กรอกข้อมูล หน่วยสินค้าที่ใช้
- เลือก/กรอกข้อมูล วันที่เริ่มใช้รหัสขนาด 
- กดปุ่ม OK</t>
  </si>
  <si>
    <t>ระบบแสดงแจ้งเตือน "กรุณากรอกข้อมูล รายละเอียด"
ปุ่ม OK</t>
  </si>
  <si>
    <t>หน้าจอ บันทึกรหัสขนาด (บันทึกรายการ)
- เลือก/กรอกข้อมูล หน่วยสินค้าที่ใช้
- เลือก/กรอกข้อมูล วันที่สิ้นสุดใช้รหัสขนาด
- กดปุ่ม บันทึก</t>
  </si>
  <si>
    <t>หน้าจอ บันทึกรหัสขนาด (บันทึกรายการ)
- เลือก/กรอกข้อมูล วันที่เริ่มใช้รหัสขนาด
- เลือก/กรอกข้อมูล วันที่สิ้นสุดใช้รหัสขนาด
- กดปุ่ม บันทึก</t>
  </si>
  <si>
    <t>ระบบแสดงแจ้งเตือน "กรุณากรอกข้อมูล รายละเอียด, และหน่วยสินค้าที่ใช้"
ปุ่ม OK</t>
  </si>
  <si>
    <t>หน้าจอ บันทึกรหัสขนาด (บันทึกรายการ)
- กรอกข้อมูล รายละเอียด
- เลือก/กรอกข้อมูล หน่วยสินค้าที่ใช้
- เลือก/กรอกข้อมูล วันที่เริ่มใช้รหัสขนาด
- กดปุ่ม บันทึก</t>
  </si>
  <si>
    <t>หน้าจอ บันทึกรหัสขนาด (บันทึกรายการ)
- กรอกข้อมูล รายละเอียด
- เลือก/กรอกข้อมูล หน่วยสินค้าที่ใช้
- เลือก/กรอกข้อมูล วันที่สิ้นสุดใช้รหัสขนาด
- กดปุ่ม บันทึก</t>
  </si>
  <si>
    <t>หน้าจอ บันทึกรหัสขนาด (บันทึกรายการ)
- กรอกข้อมูล รายละเอียด
- เลือก/กรอกข้อมูล วันที่เริ่มใช้รหัสขนาด
- เลือก/กรอกข้อมูล วันที่สิ้นสุดใช้รหัสขนาด
- กดปุ่ม บันทึก</t>
  </si>
  <si>
    <t>หน้าจอ บันทึกรหัสขนาด (บันทึกรายการ)
- เลือก/กรอกข้อมูล หน่วยสินค้าที่ใช้
- เลือก/กรอกข้อมูล วันที่เริ่มใช้รหัสขนาด
- เลือก/กรอกข้อมูล วันที่สิ้นสุดใช้รหัสขนาด
- กดปุ่ม บันทึก</t>
  </si>
  <si>
    <t>หน้าจอ บันทึกรหัสขนาด (บันทึกรายการ)
- กรอกข้อมูล รายละเอียด ภาษาไทย</t>
  </si>
  <si>
    <t>หน้าจอ บันทึกรหัสขนาด (บันทึกรายการ)
- กรอกข้อมูล รายละเอียด ภาษาอังกฤษ</t>
  </si>
  <si>
    <t>หน้าจอ บันทึกรหัสขนาด (บันทึกรายการ)
- กรอกข้อมูล รายละเอียด ตัวเลข</t>
  </si>
  <si>
    <t>หน้าจอ บันทึกรหัสขนาด (บันทึกรายการ)
- กรอกข้อมูล รายละเอียด อักขระพิเศษ</t>
  </si>
  <si>
    <t>หน้าจอ บันทึกรหัสขนาด (บันทึกรายการ)
- กรอกข้อมูล รายละเอียด space bar (ค่าว่าง)</t>
  </si>
  <si>
    <t>หน้าจอ บันทึกรหัสขนาด (บันทึกรายการ)
- กรอกข้อมูล รายละเอียด Max length</t>
  </si>
  <si>
    <t>หน้าจอ บันทึกรหัสขนาด (บันทึกรายการ)
- กด Dropdownlist หน่วยสินค้าที่ใช้</t>
  </si>
  <si>
    <t>ระบบแสดงข้อมูลหน่วยสินค้าที่ใช้ที่มีในระบบได้ โดยเรียงตามรหัสหน่วยสินค้าที่ใช้</t>
  </si>
  <si>
    <t>หน้าจอ บันทึกรหัสขนาด (บันทึกรายการ)
- กด Dropdownlist หน่วยสินค้าที่ใช้
- เลือกข้อมูล หน่วยสินค้าที่ใช้</t>
  </si>
  <si>
    <t>สามารถเลือกข้อมูลหน่วยสินค้าที่ใช้ได้</t>
  </si>
  <si>
    <t>หน้าจอ บันทึกรหัสขนาด (บันทึกรายการ) 
- กด Dropdownlist หน่วยสินค้าที่ใช้
- กรอกข้อมูล หน่วยสินค้าที่ใช้ : ภาษาไทย</t>
  </si>
  <si>
    <t>ซีซี</t>
  </si>
  <si>
    <t>สามารถกรอกข้อมูลรหัสหน่วยสินค้าที่ใช้ได้ และระบบแสดงข้อมูลหน่วยสินค้าที่ใช้ที่ทำการค้นหา</t>
  </si>
  <si>
    <t>หน้าจอ บันทึกรหัสขนาด (บันทึกรายการ) 
- กด Dropdownlist หน่วยสินค้าที่ใช้
- กรอกข้อมูล หน่วยสินค้าที่ใช้ : ภาษาอังกฤษ</t>
  </si>
  <si>
    <t>หน้าจอ บันทึกรหัสขนาด (บันทึกรายการ) 
- กด Dropdownlist หน่วยสินค้าที่ใช้
- กรอกข้อมูล หน่วยสินค้าที่ใช้ : ตัวเลข</t>
  </si>
  <si>
    <t>หน้าจอ บันทึกรหัสขนาด (บันทึกรายการ) 
- กด Dropdownlist หน่วยสินค้าที่ใช้
- กรอกข้อมูล หน่วยสินค้าที่ใช้ : อักขระพิเศษ</t>
  </si>
  <si>
    <t>หน้าจอ บันทึกรหัสขนาด (บันทึกรายการ)
- กด Dropdownlist หน่วยสินค้าที่ใช้
- กรอกข้อมูล หน่วยสินค้าที่ใช้ : space bar (ค่าว่าง)</t>
  </si>
  <si>
    <t>หน้าจอ บันทึกรหัสขนาด (บันทึกรายการ)
- กด Dropdownlist หน่วยสินค้าที่ใช้
- กรอกข้อมูล หน่วยสินค้าที่ใช้ : ที่มีในระบบ</t>
  </si>
  <si>
    <t>หน้าจอ บันทึกรหัสขนาด (บันทึกรายการ)
- กด Dropdownlist หน่วยสินค้าที่ใช้
- กรอกข้อมูล หน่วยสินค้าที่ใช้ : ที่ไม่มีในระบบ</t>
  </si>
  <si>
    <t>หน้าจอ บันทึกรหัสขนาด (บันทึกรายการ) 
- เลือกข้อมูล วันที่เริ่มใช้รหัสขนาด</t>
  </si>
  <si>
    <t>สามารถเลือกข้อมูลวันที่เริ่มใช้รหัสขนาดได้</t>
  </si>
  <si>
    <t>หน้าจอ บันทึกรหัสขนาด (บันทึกรายการ)
- กรอกข้อมูล วันที่เริ่มใช้รหัสขนาด ภาษาไทย</t>
  </si>
  <si>
    <t>ไม่สามารถกรอกข้อมูลวันที่เริ่มใช้รหัสขนาดได้ ระบบ Default เป็นวันที่ปัจจุบัน</t>
  </si>
  <si>
    <t>หน้าจอ บันทึกรหัสขนาด (บันทึกรายการ)
- กรอกข้อมูล วันที่เริ่มใช้รหัสขนาด ภาษาอังกฤษ</t>
  </si>
  <si>
    <t>หน้าจอ บันทึกรหัสขนาด (บันทึกรายการ)
- กรอกข้อมูล วันที่เริ่มใช้รหัสขนาด ตัวเลข ตาม Format</t>
  </si>
  <si>
    <t>สามารถกรอกข้อมูลวันที่เริ่มใช้รหัสขนาดได้</t>
  </si>
  <si>
    <t>หน้าจอ บันทึกรหัสขนาด (บันทึกรายการ)
- กรอกข้อมูล วันที่เริ่มใช้รหัสขนาด ตัวเลข ไม่ตาม Format</t>
  </si>
  <si>
    <t>หน้าจอ บันทึกรหัสขนาด (บันทึกรายการ)
- กรอกข้อมูล วันที่เริ่มใช้รหัสขนาด อักขระพิเศษ</t>
  </si>
  <si>
    <t>หน้าจอ บันทึกรหัสขนาด (บันทึกรายการ)
- กรอกข้อมูล วันที่เริ่มใช้รหัสขนาด space bar (ค่าว่าง)</t>
  </si>
  <si>
    <t>หน้าจอ บันทึกรหัสขนาด (บันทึกรายการ)
- กรอกข้อมูล วันที่เริ่มใช้รหัสขนาด Max length</t>
  </si>
  <si>
    <t>หน้าจอ บันทึกรหัสขนาด (บันทึกรายการ)
- เลือกข้อมูล วันที่สิ้นสุดใช้รหัสขนาด</t>
  </si>
  <si>
    <t>สามารถเลืือกข้อมูลวันที่สิ้นสุดใช้รหัสขนาดได้</t>
  </si>
  <si>
    <t>หน้าจอ บันทึกรหัสขนาด (บันทึกรายการ)
- กรอกข้อมูล วันที่สิ้นสุดใช้รหัสขนาด ภาษาไทย</t>
  </si>
  <si>
    <t>ไม่สามารถกรอกข้อมูลวันที่สิ้นสุดใช้รหัสขนาดได้ ระบบ Default เป็นวันที่ปัจจุบัน</t>
  </si>
  <si>
    <t>หน้าจอ บันทึกรหัสขนาด (บันทึกรายการ)
- กรอกข้อมูล วันที่สิ้นสุดใช้รหัสขนาด ภาษาอังกฤษ</t>
  </si>
  <si>
    <t>หน้าจอ บันทึกรหัสขนาด (บันทึกรายการ)
- กรอกข้อมูล วันที่สิ้นสุดใช้รหัสขนาด ตัวเลข ตาม Format</t>
  </si>
  <si>
    <t>สามารถกรอกข้อมูลวันที่สิ้นสุดใช้รหัสขนาดได้</t>
  </si>
  <si>
    <t>หน้าจอ บันทึกรหัสขนาด (บันทึกรายการ)
- กรอกข้อมูล วันที่สิ้นสุดใช้รหัสขนาด ตัวเลข ไม่ตาม Format</t>
  </si>
  <si>
    <t>หน้าจอ บันทึกรหัสขนาด (บันทึกรายการ)
- กรอกข้อมูล วันที่สิ้นสุดใช้รหัสขนาด อักขระพิเศษ</t>
  </si>
  <si>
    <t>หน้าจอ บันทึกรหัสขนาด (บันทึกรายการ)
- กรอกข้อมูล วันที่สิ้นสุดใช้รหัสขนาด space bar (ค่าว่าง)</t>
  </si>
  <si>
    <t>หน้าจอ บันทึกรหัสขนาด (บันทึกรายการ)
- กรอกข้อมูล วันที่สิ้นสุดใช้รหัสขนาด Max length</t>
  </si>
  <si>
    <t>หน้าจอ บันทึกรหัสขนาด (บันทึกรายการ)
- กรอกข้อมูลครบถ้วน
- กดปุ่ม บันทึก</t>
  </si>
  <si>
    <t xml:space="preserve">หน้าจอ บันทึกรหัสขนาด (บันทึกรายการ)
- กรอกข้อมูลครบถ้วน
- กดปุ่ม ลบ
</t>
  </si>
  <si>
    <t xml:space="preserve">หน้าจอ บันทึกรหัสขนาด (บันทึกรายการ)
- กรอกข้อมูลครบถ้วน
- กดปุ่ม ค้นหา
</t>
  </si>
  <si>
    <t xml:space="preserve">หน้าจอ บันทึกรหัสขนาด (บันทึกรายการ)
- กรอกข้อมูลครบถ้วน
- กดปุ่ม ล้างข้อมูล
</t>
  </si>
  <si>
    <t>ทดสอบแก้ไขข้อมูล บันทึกรหัสขนาด</t>
  </si>
  <si>
    <t>หน้าจอ บันทึกรหัสขนาด (บันทึกรายการ)
- กดปุ่ม ค้นหา</t>
  </si>
  <si>
    <t>หน้าจอ บันทึกรหัสขนาด (บันทึกรายการ)
- กดปุ่ม ค้นหา
- เลือกข้อมูลที่ต้องการแก้ไข</t>
  </si>
  <si>
    <t>หน้าจอ บันทึกรหัสขนาด (บันทึกรายการ)
- กดปุ่ม ค้นหา
- เลือกข้อมูลที่ต้องการแก้ไข
- แก้ไขข้อมูล รายละเอียด ภาษาไทย</t>
  </si>
  <si>
    <t>ลองทดสอบ</t>
  </si>
  <si>
    <t>สามารถแก้ไขข้อมููลรายละเอียดได้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</si>
  <si>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 รายละเอียด ภาษาอังกฤษ</t>
  </si>
  <si>
    <t>tests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</si>
  <si>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 รายละเอียด ตัวเลข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</si>
  <si>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 รายละเอียด อักขระพิเศษ</t>
  </si>
  <si>
    <t>!@#$%%^&amp;*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</si>
  <si>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 รายละเอียด space bar (ค่าว่าง)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</si>
  <si>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แก้ไขข้อมูลรายละเอียด Max length</t>
  </si>
  <si>
    <t>หน้าจอ บันทึกรหัสขนาด (บันทึกรายการ) 
- กดปุ่ม ค้นหา 
- เลือกข้อมูลที่ต้องการแก้ไข
- กด Dropdownlist หน่วยสินค้าที่ใช้</t>
  </si>
  <si>
    <t>หน้าจอ บันทึกรหัสขนาด (บันทึกรายการ)
- กดปุ่ม ค้นหา
- เลือกข้อมูลที่ต้องการแก้ไข
- กด Dropdownlist หน่วยสินค้าที่ใช้
- เลือกข้อมูล หน่วยสินค้าที่ใช้</t>
  </si>
  <si>
    <t>หน้าจอ บันทึกรหัสขนาด (บันทึกรายการ) 
- กดปุ่ม ค้นหา 
- เลือกข้อมูลที่ต้องการแก้ไข
- กด Dropdownlist หน่วยสินค้าที่ใช้
- กรอกข้อมูล หน่วยสินค้าที่ใช้ : ที่มีในระบบ</t>
  </si>
  <si>
    <t>หน้าจอ บันทึกรหัสขนาด (บันทึกรายการ) 
- กดปุ่ม ค้นหา 
- เลือกข้อมูลที่ต้องการแก้ไข
- กด Dropdownlist หน่วยสินค้าที่ใช้
- กรอกข้อมูล หน่วยสินค้าที่ใช้ : ที่ไม่มีในระบบ</t>
  </si>
  <si>
    <t>หน้าจอ บันทึกรหัสขนาด (บันทึกรายการ)
- กดปุ่ม ค้นหา
- เลือกข้อมูลที่ต้องการแก้ไข
- แก้ไขเลือกข้อมูล วันที่เริ่มใช้รหัสขนาด</t>
  </si>
  <si>
    <t>สามารถเลืือกข้อมูลวันที่เริ่มใช้รหัสขนาดได้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</si>
  <si>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 วันที่เริ่มใช้รหัสขนาด ภาษาไทย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</si>
  <si>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 วันที่เริ่มใช้รหัสขนาด ภาษาอังกฤษ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</si>
  <si>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แก้ไขข้อมูลข้อมูล วันที่เริ่มใช้รหัสขนาด ตัวเลข ตาม Format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</si>
  <si>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 วันที่เริ่มใช้รหัสขนาด ตัวเลข ไม่ตาม Format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</si>
  <si>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 วันที่เริ่มใช้รหัสขนาด อักขระพิเศษ</t>
  </si>
  <si>
    <t>!@#$%^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</si>
  <si>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 วันที่เริ่มใช้รหัสขนาด space bar (ค่าว่าง)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</si>
  <si>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 วันที่เริ่มใช้รหัสขนาด Max length</t>
  </si>
  <si>
    <t>หน้าจอ บันทึกรหัสขนาด (บันทึกรายการ) 
- กดปุ่ม ค้นหา 
- เลือกข้อมูลที่ต้องการแก้ไข
- เลือกข้อมูล วันที่สิ้นสุดใช้รหัสขนาด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</si>
  <si>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 วันที่สิ้นสุดใช้รหัสขนาด ภาษาไทย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</si>
  <si>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 วันที่สิ้นสุดใช้รหัสขนาด ภาษาอังกฤษ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</si>
  <si>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 วันที่สิ้นสุดใช้รหัสขนาด ตัวเลข ตาม Format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</si>
  <si>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 วันที่สิ้นสุดใช้รหัสขนาด ตัวเลข ไม่ตาม Format</t>
  </si>
  <si>
    <t>หน้าจอ บันทึกรหัสขนาด (บันทึกรายการ)
- กดปุ่ม ค้นหา
- เลือกข้อมูลที่ต้องการแก้ไข
- แก้ไขข้อมูล วันที่สิ้นสุดใช้รหัสขนาด อักขระพิเศษ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</si>
  <si>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 วันที่สิ้นสุดใช้รหัสขนาด space bar (ค่าว่าง)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</si>
  <si>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 วันที่สิ้นสุดใช้รหัสขนาด Max length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</si>
  <si>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แก้ไขข้อมูลครบถ้วน
- กดปุ่ม บันทึก</t>
  </si>
  <si>
    <t xml:space="preserve">หน้าจอ บันทึกรหัสขนาด (บันทึกรายการ) 
- กดปุ่ม ค้นหา 
- เลือกข้อมูลที่ต้องการแก้ไข 
- แก้ไขข้อมูลครบถ้วน
- กดปุ่ม ลบ
</t>
  </si>
  <si>
    <t xml:space="preserve">หน้าจอ บันทึกรหัสขนาด (บันทึกรายการ) 
- กดปุ่ม ค้นหา 
- เลือกข้อมูลที่ต้องการแก้ไข 
- แก้ไขข้อมูลครบถ้วน
- กดปุ่ม ค้นหา
</t>
  </si>
  <si>
    <t xml:space="preserve">หน้าจอ บันทึกรหัสขนาด (บันทึกรายการ) 
- กดปุ่ม ค้นหา 
- เลือกข้อมูลที่ต้องการแก้ไข 
- แก้ไขข้อมูลครบถ้วน
- กดปุ่ม ล้างข้อมูล
</t>
  </si>
  <si>
    <t>ทดสอบค้นหาข้อมูล บันทึกรหัสขนาด</t>
  </si>
  <si>
    <t>หน้าจอ บันทึกรหัสขนาด (บันทึกรายการ)
- กรอกข้อมูล รายละเอียด ภาษาไทย
- กดปุ่ม ค้นหา</t>
  </si>
  <si>
    <t>หน้าจอ บันทึกรหัสขนาด (บันทึกรายการ)
- กรอกข้อมูล รายละเอียด ภาษาอังกฤษ
- กดปุ่ม ค้นหา</t>
  </si>
  <si>
    <t>หน้าจอ บันทึกรหัสขนาด (บันทึกรายการ)
- กรอกข้อมูล รายละเอียด ตัวเลข
- กดปุ่ม ค้นหา</t>
  </si>
  <si>
    <t>หน้าจอ บันทึกรหัสขนาด (บันทึกรายการ)
- กรอกข้อมูล รายละเอียด อักขระพิเศษ
- กดปุ่ม ค้นหา</t>
  </si>
  <si>
    <t>หน้าจอ บันทึกรหัสขนาด (บันทึกรายการ)
- กรอกข้อมูล รายละเอียด space bar (ค่าว่าง)
- กดปุ่ม ค้นหา</t>
  </si>
  <si>
    <t>หน้าจอ บันทึกรหัสขนาด (บันทึกรายการ)
- กรอกข้อมูล รายละเอียด ที่มีในระบบ
- กดปุ่ม ค้นหา</t>
  </si>
  <si>
    <t>หน้าจอ บันทึกรหัสขนาด (บันทึกรายการ)
- กรอกข้อมูล รายละเอียด ที่ไม่มีในระบบ
- กดปุ่ม ค้นหา</t>
  </si>
  <si>
    <t>หน้าจอ บันทึกรหัสขนาด (บันทึกรายการ)
- เลือกข้อมูล หน่วยสินค้าที่ใช้
- กดปุ่ม ค้นหา</t>
  </si>
  <si>
    <t>หน้าจอ บันทึกรหัสขนาด (บันทึกรายการ)
- กรอกข้อมูล หน่วยสินค้าที่ใช้ ที่มีในระบบ
- กดปุ่ม ค้นหา</t>
  </si>
  <si>
    <t>หน้าจอ บันทึกรหัสขนาด (บันทึกรายการ)
- กรอกข้อมูล หน่วยสินค้าที่ใช้ ที่ไม่มีในระบบ
- กดปุ่ม ค้นหา</t>
  </si>
  <si>
    <t>หน้าจอ บันทึกรหัสขนาด (บันทึกรายการ)
- เลือกข้อมูล วันที่เริ่มใช้รหัสขนาด
- กดปุ่ม ค้นหา</t>
  </si>
  <si>
    <t>หน้าจอ บันทึกรหัสขนาด (บันทึกรายการ)
- กรอกข้อมูล วันที่เริ่มใช้รหัสขนาด ที่มีในระบบ
- กดปุ่ม ค้นหา</t>
  </si>
  <si>
    <t>หน้าจอ บันทึกรหัสขนาด (บันทึกรายการ)
- กรอกข้อมูล วันที่เริ่มใช้รหัสขนาด ที่ไม่มีในระบบ
- กดปุ่ม ค้นหา</t>
  </si>
  <si>
    <t>หน้าจอ บันทึกรหัสขนาด (บันทึกรายการ)
- กรอกข้อมูล วันที่สิ้นสุดใช้รหัสขนาด ที่มีในระบบ</t>
  </si>
  <si>
    <t>หน้าจอ บันทึกรหัสขนาด (บันทึกรายการ)
- กรอกข้อมูล วันที่สิ้นสุดใช้รหัสขนาด ที่ไม่มีในระบบ</t>
  </si>
  <si>
    <t>ทดสอบลบข้อมูล บันทึกรหัสขนาด</t>
  </si>
  <si>
    <t>หน้าจอ บันทึกรหัสขนาด (บันทึกรายการ)
- กดปุ่ม ค้นหา
- เลือกข้อมูลที่ต้องการลบ</t>
  </si>
  <si>
    <t>หน้าจอ บันทึกรหัสขนาด (บันทึกรายการ)
- กดปุ่ม ค้นหา
- เลือกข้อมูลที่ต้องการลบ
- กดปุ่ม ลบ</t>
  </si>
  <si>
    <t>ตรวจสอบหัวตารางแสดงผล รหัสขนาดสินค้า</t>
  </si>
  <si>
    <t>ระบบแสดงหัวตารางแสดงผล รหัสขนาดสินค้า ได้ถูกต้อง</t>
  </si>
  <si>
    <t>ตรวจสอบหัวตารางแสดงผล รายละเอียด</t>
  </si>
  <si>
    <t>ระบบแสดงหัวตารางแสดงผล รายละเอียดรหัสขนาด ได้ถูกต้อง</t>
  </si>
  <si>
    <t>ตรวจสอบหัวตารางแสดงผล หน่วย</t>
  </si>
  <si>
    <t>ระบบแสดงหัวตารางแสดงผล หน่วย ได้ถูกต้อง</t>
  </si>
  <si>
    <t>ตรวจสอบหัวตารางแสดงผล วันที่เริ่มต้นใช้รหัส</t>
  </si>
  <si>
    <t>ระบบแสดงหัวตารางแสดงผล วันที่เริ่มต้นใช้รหัส ได้ถูกต้อง</t>
  </si>
  <si>
    <t>ตรวจสอบข้อมูล รหัสขนาดสินค้า</t>
  </si>
  <si>
    <t>ระบบแสดงข้อมูล รหัสขนาดสินค้า ได้ถูกต้อง</t>
  </si>
  <si>
    <t>ตรวจสอบข้อมูล รายละเอียด</t>
  </si>
  <si>
    <t>ระบบแสดงข้อมูล รายละเอียด ได้ถูกต้อง</t>
  </si>
  <si>
    <t>ตรวจสอบข้อมูล วันที่เริ่มต้นใช้รหัส</t>
  </si>
  <si>
    <t>ระบบแสดงข้อมูล วันที่เริ่มต้นใช้รหัส ได้ถูกต้อง</t>
  </si>
  <si>
    <t>0.0.2</t>
  </si>
  <si>
    <t>Update Test Case</t>
  </si>
  <si>
    <t>หน้าจอ บันทึกรหัสเครื่องหมายการค้าหลัก (เครื่องหมายการค้าหลัก)
- กดปุ่ม ตกลง</t>
  </si>
  <si>
    <t>สามารถกดปุ่มตกลงได้ แต่ไม่กรอกบันทึกรายการได้ ระบบแจ้งเตือน "กรุณาระบุชื่อกลุ่มสินค้า"
ปุ่ม OK</t>
  </si>
  <si>
    <t>- กดปุ่ม OK</t>
  </si>
  <si>
    <t>หน้าจอ บันทึกรหัสเครื่องหมายการค้าหลัก (เครื่องหมายการค้าหลัก)
- กด Dropdownlist</t>
  </si>
  <si>
    <t>ระบบแสดงข้อมูลชื่อกลุ่มสินค้าที่มีในระบบได้ โดยเรียงตามรหัสกลุ่มสินค้า จากน้อยไปมาก</t>
  </si>
  <si>
    <t>หน้าจอ บันทึกรหัสเครื่องหมายการค้าหลัก (เครื่องหมายการค้าหลัก)
- กด Dropdownlist
- เลือกหรือกรอกข้อมูล ชื่อกลุ่มสินค้า</t>
  </si>
  <si>
    <t>สามารถเลือกข้อมูลชื่อกลุ่มสินค้าได้</t>
  </si>
  <si>
    <t>หน้าจอ บันทึกรหัสเครื่องหมายการค้าหลัก (เครื่องหมายการค้าหลัก)
- กด Dropdownlist
- กรอกข้อมูล ชื่อกลุ่มสินค้า : ภาษาไทย</t>
  </si>
  <si>
    <t>สามารถกรอกข้อมูลชื่อกลุ่มสินค้าเป็นภาษาไทยได้ และระบบแสดงข้อมูลชื่อกลุ่มสินค้าที่ทำการค้นหา</t>
  </si>
  <si>
    <t>หน้าจอ บันทึกรหัสเครื่องหมายการค้าหลัก (เครื่องหมายการค้าหลัก)
- กด Dropdownlist
- กรอกข้อมูล ชื่อกลุ่มสินค้า : ตัวเลข</t>
  </si>
  <si>
    <t>สามารถกรอกข้อมูลชื่อกลุ่มสินค้าเป็นตัวเลขได้ และระบบแสดงข้อมูลชื่อกลุ่มสินค้าที่ทำการค้นหา</t>
  </si>
  <si>
    <t>หน้าจอ บันทึกรหัสเครื่องหมายการค้าหลัก (เครื่องหมายการค้าหลัก)
- กด Dropdownlist
- กรอกข้อมูล ชื่อกลุ่มสินค้า : อักขระพิเศษ</t>
  </si>
  <si>
    <t>สามารถกรอกข้อมูลชื่อกลุ่มสินค้าเป็นอักขระพิเศษได้ และระบบแสดงข้อมูลชื่อกลุ่มสินค้าที่ทำการค้นหา</t>
  </si>
  <si>
    <t>หน้าจอ บันทึกรหัสเครื่องหมายการค้าหลัก (เครื่องหมายการค้าหลัก)
- กด Dropdownlist
- กรอกข้อมูล ชื่อกลุ่มสินค้า : space bar (ค่าว่าง)</t>
  </si>
  <si>
    <t>สามารถกรอกข้อมูลชื่อกลุ่มสินค้าเป็น space bar (ค่าว่าง) ได้ และระบบแสดงข้อมูลชื่อกลุ่มสินค้าที่ทำการค้นหา</t>
  </si>
  <si>
    <t>หน้าจอ บันทึกรหัสเครื่องหมายการค้าหลัก (เครื่องหมายการค้าหลัก)
- กด Dropdownlist
- กรอกข้อมูล ชื่อกลุ่มสินค้า : ที่มีในระบบ</t>
  </si>
  <si>
    <t>สามารถกรอกข้อมูลชื่อกลุ่มสินค้าได้ และระบบแสดงข้อมูลชื่อกลุ่มสินค้าที่ทำการค้นหา</t>
  </si>
  <si>
    <t>หน้าจอ  บันทึกรหัสเครื่องหมายการค้าหลัก (เครื่องหมายการค้าหลัก)
- กด Dropdownlist
- กรอกข้อมูล ชื่อกลุ่มสินค้า : ที่ไม่มีในระบบ</t>
  </si>
  <si>
    <t>หน้าจอ บันทึกรหัสเครื่องหมายการค้าหลัก (เครื่องหมายการค้าหลัก)
- กด Dropdownlist
- เลือก / กรอกข้อมูล ชื่อกลุ่มสินค้า 
- กดปุ่ม ตกลง</t>
  </si>
  <si>
    <t>สามารถกรอกข้อมูลบันทึกรายการ เครื่องหมายการค้าหลักได้</t>
  </si>
  <si>
    <t>ต้องการลบข้อมูลหรือไม่?
- กดปุ่ม Cancel</t>
  </si>
  <si>
    <t xml:space="preserve">ระบบแสดงแจ้งเตือน "ลบข้อมูลเรียบร้อยแล้ว"
ปุ่ม OK </t>
  </si>
  <si>
    <t>ลบข้อมูลไม่สำเร็จ โปรดลองใหม่อีกครั้ง
- กดปุ่ม OK</t>
  </si>
  <si>
    <t xml:space="preserve">หน้าจอ บันทึกรหัสเครื่องหมายการค้าหลัก  (บันทึกรายการ)
- กดปุ่ม ค้นหา
</t>
  </si>
  <si>
    <t>ระบบแสดงข้อมููลทั้งหมดที่มีในระบบ รูปแบบ Data Table</t>
  </si>
  <si>
    <t>สามารถกดปุ่มล้างข้อมูลได้</t>
  </si>
  <si>
    <t>หน้าจอ บันทึกรหัสเครื่องหมายการค้าหลัก (บันทึกรายการ)
 - เลือกชื่อกลุ่มสินค้า
 - กดปุ่ม ตกลง
 - กดปุ่ม บันทึก</t>
  </si>
  <si>
    <t>หน้าจอ บันทึกรหัสเครื่องหมายการค้าหลัก (บันทึกรายการ)
 - เลือกชื่อกลุ่มสินค้า
 - กดปุ่ม ตกลง
 - กรอกชื่อเครื่องหมายการค้า (ภาษาไทย) : กรอกข้อมูลเป็นภาษาไทย
 - กดปุ่ม บันทึก</t>
  </si>
  <si>
    <t>หน้าจอ บันทึกรหัสเครื่องหมายการค้าหลัก (บันทึกรายการ)
 - เลือกชื่อกลุ่มสินค้า
 - กดปุ่ม ตกลง
 - กรอกชื่อเครื่องหมายการค้า (ภาษาไทย) : กรอกข้อมูลเป็นภาษาไทย
 - เลือก/กรอกข้อมูล วันที่เริ่มใช้รหัสเครื่องหมายการค้า
 - กดปุ่ม บันทึก</t>
  </si>
  <si>
    <t>ปิดแจ้งเตือน แสดงผล</t>
  </si>
  <si>
    <t>หน้าจอ บันทึกรหัสเครื่องหมายการค้าหลัก (บันทึกรายการ)
 - เลือกชื่อกลุ่มสินค้า
 - กดปุ่ม ตกลง
 - กรอกชื่อเครื่องหมายการค้า (ภาษาไทย) : กรอกข้อมูลเป็นภาษาไทย
 - เลือก/กรอกข้อมูล วันที่สิ้นสุดใช้รหัสเครื่องหมายการค้า
 - กดปุ่ม บันทึก</t>
  </si>
  <si>
    <t>หน้าจอ บันทึกรหัสเครื่องหมายการค้าหลัก (บันทึกรายการ)
 - เลือกชื่อกลุ่มสินค้า
 - กดปุ่ม ตกลง
 - กรอกชื่อเครื่องหมายการค้า (ภาษาอังกฤษ) : กรอกข้อมูลเป็นภาษาอังกฤษ
 - กดปุ่ม บันทึก</t>
  </si>
  <si>
    <t>หน้าจอ บันทึกรหัสเครื่องหมายการค้าหลัก (บันทึกรายการ)
 - เลือกชื่อกลุ่มสินค้า
 - กดปุ่ม ตกลง
 - กรอกชื่อเครื่องหมายการค้า (ภาษาอังกฤษ) : กรอกข้อมูลเป็นภาษาอังกฤษ
 - เลือก/กรอกข้อมูล วันที่เริ่มใช้รหัสเครื่องหมายการค้า
 - กดปุ่ม บันทึก</t>
  </si>
  <si>
    <t>หน้าจอ บันทึกรหัสเครื่องหมายการค้าหลัก (บันทึกรายการ)
 - เลือกชื่อกลุ่มสินค้า
 - กดปุ่ม ตกลง
 - กรอกชื่อเครื่องหมายการค้า (ภาษาอังกฤษ) : กรอกข้อมูลเป็นภาษาอังกฤษ
 - เลือก/กรอกข้อมูล วันที่สิ้นสุดใช้รหัสเครื่องหมายการค้า
 - กดปุ่ม บันทึก</t>
  </si>
  <si>
    <t>หน้าจอ บันทึกรหัสเครื่องหมายการค้าหลัก (บันทึกรายการ)
 - เลือกชื่อกลุ่มสินค้า
 - กดปุ่ม ตกลง
 - กรอกชื่อเครื่องหมายการค้า (ภาษาไทย) : กรอกข้อมูลเป็นภาษาอังกฤษ
 - กดปุ่ม บันทึก</t>
  </si>
  <si>
    <t>ระบบแสดงแจ้งเตือน "กรุณากรอกเครื่องหมายการค้า (ภาษาไทย)"
 ปุ่ม OK</t>
  </si>
  <si>
    <t>หน้าจอ บันทึกรหัสเครื่องหมายการค้าหลัก (บันทึกรายการ)
 - เลือกชื่อกลุ่มสินค้า
 - กดปุ่ม ตกลง
 - กรอกชื่อเครื่องหมายการค้า (ภาษาไทย) : กรอกข้อมูลเป็นภาษาอังกฤษ
 - เลือก/กรอกข้อมูล วันที่เริ่มใช้รหัสเครื่องหมายการค้า
 - กดปุ่ม บันทึก</t>
  </si>
  <si>
    <t xml:space="preserve">ปิดแจ้งเตือน </t>
  </si>
  <si>
    <t>หน้าจอ บันทึกรหัสเครื่องหมายการค้าหลัก (บันทึกรายการ)
 - เลือกชื่อกลุ่มสินค้า
 - กดปุ่ม ตกลง
 - กรอกชื่อเครื่องหมายการค้า (ภาษาไทย) : กรอกข้อมูลเป็นภาษาอังกฤษ
 - เลือก/กรอกข้อมูล วันที่สิ้นสุดใช้รหัสเครื่องหมายการค้า
 - กดปุ่ม บันทึก</t>
  </si>
  <si>
    <t>หน้าจอ บันทึกรหัสเครื่องหมายการค้าหลัก (บันทึกรายการ)
 - เลือกชื่อกลุ่มสินค้า
 - กดปุ่ม ตกลง
 - กรอกชื่อเครื่องหมายการค้า (ภาษาอังกฤษ) : กรอกข้อมูลเป็นภาษาไทย
 - กดปุ่ม บันทึก</t>
  </si>
  <si>
    <t>ระบบแสดงแจ้งเตือน "กรุณากรอกเครื่องหมายการค้า (ภาษาอังกฤษ)"
 ปุ่ม OK</t>
  </si>
  <si>
    <t>หน้าจอ บันทึกรหัสเครื่องหมายการค้าหลัก (บันทึกรายการ)
 - เลือกชื่อกลุ่มสินค้า
 - กดปุ่ม ตกลง
 - กรอกชื่อเครื่องหมายการค้า (ภาษาอังกฤษ) : กรอกข้อมูลเป็นภาษาไทย
 - เลือก/กรอกข้อมูล วันที่เริ่มใช้รหัสเครื่องหมายการค้า
 - กดปุ่ม บันทึก</t>
  </si>
  <si>
    <t>หน้าจอ บันทึกรหัสเครื่องหมายการค้าหลัก (บันทึกรายการ)
 - เลือกชื่อกลุ่มสินค้า
 - กดปุ่ม ตกลง
 - กรอกชื่อเครื่องหมายการค้า (ภาษาอังกฤษ) : กรอกข้อมูลเป็นภาษาไทย
 - เลือก/กรอกข้อมูล วันที่สิ้นสุดใช้รหัสเครื่องหมายการค้า
 - กดปุ่ม บันทึก</t>
  </si>
  <si>
    <t>หน้าจอ บันทึกรหัสเครื่องหมายการค้าหลัก (บันทึกรายการ)
 - กรอกชื่อเครื่องหมายการค้า (ภาษาไทย) : กรอกข้อมูลเป็นภาษาไทย</t>
  </si>
  <si>
    <t>สามารถกรอกข้อมูล เป็นภาษาไทยได้</t>
  </si>
  <si>
    <t>หน้าจอ บันทึกรหัสเครื่องหมายการค้าหลัก (บันทึกรายการ)
- กรอกชื่อเครื่องหมายการค้า (ภาษาอังกฤษ) : กรอกข้อมูลเป็นภาษาอังกฤษ</t>
  </si>
  <si>
    <t>สามารถกรอกข้อมูลเป็นภาษาอังกฤษได้</t>
  </si>
  <si>
    <t>หน้าจอ บันทึกรหัสเครื่องหมายการค้าหลัก (บันทึกรายการ)
 - กรอกชื่อเครื่องหมายการค้า (ภาษาไทย) : กรอกข้อมูลเป็นภาษาอังกฤษ</t>
  </si>
  <si>
    <t>สามารถกรอกข้อมูลได้</t>
  </si>
  <si>
    <t>หน้าจอ บันทึกรหัสเครื่องหมายการค้าหลัก (บันทึกรายการ)
- กรอกชื่อเครื่องหมายการค้า (ภาษาอังกฤษ) : กรอกข้อมูลเป็นภาษาไทย</t>
  </si>
  <si>
    <t>หน้าจอ บันทึกรหัสเครื่องหมายการค้าหลัก (บันทึกรายการ)
- กรอกข้อมูล กรอกชื่อเครื่องหมายการค้า (ไทย) Max length</t>
  </si>
  <si>
    <t>สามารถกรอกข้อมููลได้</t>
  </si>
  <si>
    <t>หน้าจอ บันทึกรหัสเครื่องหมายการค้าหลัก (บันทึกรายการ)
- กรอกข้อมูล กรอกชื่อเครื่องหมายการค้า  (ภาษาอังกฤษ) Max length</t>
  </si>
  <si>
    <t>หน้าจอ บันทึกรหัสเครื่องหมายการค้าหลัก (บันทึกรายการ)
- เลือกข้อมูล วันที่เริ่มใช้รหัสเครื่องหมายการค้า</t>
  </si>
  <si>
    <t>สามารถเลือกข้อมูลวันที่เริ่มใช้รหัสเครื่องหมายการค้าได้</t>
  </si>
  <si>
    <t>หน้าจอ บันทึกรหัสเครื่องหมายการค้าหลัก (บันทึกรายการ)
- กรอกข้อมูล วันที่เริ่มใช้รหัสเครื่องหมายการค้า ภาษาไทย</t>
  </si>
  <si>
    <t>ไม่สามารถกรอกข้อมูลวันที่เริ่มใช้รหัสเครื่องหมายการค้าได้ ระบบ Default เป็นวันที่ปัจจุบัน</t>
  </si>
  <si>
    <t>หน้าจอ บันทึกรหัสเครื่องหมายการค้าหลัก (บันทึกรายการ)
- กรอกข้อมูล วันที่เริ่มใช้รหัสเครื่องหมายการค้า ภาษาอังกฤษ</t>
  </si>
  <si>
    <t>หน้าจอ บันทึกรหัสเครื่องหมายการค้าหลัก (บันทึกรายการ)
- กรอกข้อมูล วันที่เริ่มใช้รหัสเครื่องหมายการค้าหลัก ตัวเลข ตาม Format</t>
  </si>
  <si>
    <t>สามารถกรอกข้อมูลวันที่เริ่มใช้รหัสเครื่องหมายการค้าหลักได้</t>
  </si>
  <si>
    <t>หน้าจอ บันทึกรหัสเครื่องหมายการค้าหลัก (บันทึกรายการ)
- กรอกข้อมูล วันที่เริ่มใช้รหัสเครื่องหมายการค้าหลัก ตัวเลข ไม่ตาม Format</t>
  </si>
  <si>
    <t>ไม่สามารถกรอกข้อมูลวันที่เริ่มใช้รหัสเครื่องหมายการค้าหลักได้ ระบบ Default เป็นวันที่ปัจจุบัน</t>
  </si>
  <si>
    <t>หน้าจอ บันทึกรหัสเครื่องหมายการค้าหลัก (บันทึกรายการ)
- กรอกข้อมูล วันที่เริ่มใช้รหัสเครื่องหมายการค้าหลัก อักขระพิเศษ</t>
  </si>
  <si>
    <t>หน้าจอ บันทึกรหัสเครื่องหมายการค้าหลัก (บันทึกรายการ)
- กรอกข้อมูล วันที่เริ่มใช้รหัสเครื่องหมายการค้าหลัก space bar (ค่าว่าง)</t>
  </si>
  <si>
    <t>หน้าจอ บันทึกรหัสเครื่องหมายการค้าหลัก (บันทึกรายการ)
- กรอกข้อมูล วันที่เริ่มใช้รหัสเครื่องหมายการค้าหลัก Max length</t>
  </si>
  <si>
    <t>ไม่สามารถกรอกข้อมูลวันที่เริ่มใช้รหัสเครื่องหมายการค้าหลัก ได้ ระบบ Default เป็นวันที่ปัจจุบัน</t>
  </si>
  <si>
    <t>หน้าจอ บันทึกรหัสเครื่องหมายการค้าหลัก (บันทึกรายการ)
- เลือกข้อมูล วันที่สิ้นสุดใช้รหัสเครื่องหมายการค้าหลัก</t>
  </si>
  <si>
    <t>สามารถเลือกข้อมูลวันที่สิ้นสุดใช้รหัสเครื่องหมายการค้าหลักได้</t>
  </si>
  <si>
    <t>หน้าจอ บันทึกรหัสเครื่องหมายการค้าหลัก (บันทึกรายการ)
- กรอกข้อมูล วันที่สิ้นสุดใช้รหัสเครื่องหมายการค้าหลัก ภาษาไทย</t>
  </si>
  <si>
    <t>ไม่สามารถกรอกข้อมูลวันที่สิ้นสุดใช้รหัสเครื่องหมายการค้าหลักได้ ระบบ Default เป็นวันที่ปัจจุบัน</t>
  </si>
  <si>
    <t>หน้าจอ บันทึกรหัสเครื่องหมายการค้าหลัก (บันทึกรายการ)
- กรอกข้อมูล วันที่สิ้นสุดใช้รหัสรหัสเครื่องหมายการค้าหลัก ภาษาอังกฤษ</t>
  </si>
  <si>
    <t>หน้าจอ บันทึกรหัสเครื่องหมายการค้าหลัก (บันทึกรายการ)
- กรอกข้อมูล วันที่สิ้นสุดใช้รหัสเครื่องหมายการค้าหลัก ตัวเลข ตาม Format</t>
  </si>
  <si>
    <t>สามารถกรอกข้อมูลวันที่สิ้นสุดใช้รหัสเครื่องหมายการค้าหลักได้</t>
  </si>
  <si>
    <t>หน้าจอ บันทึกรหัสเครื่องหมายการค้าหลัก (บันทึกรายการ)
- กรอกข้อมูล วันที่สิ้นสุดใช้รหัสเครื่องหมายการค้าหลัก ตัวเลข ไม่ตาม Format</t>
  </si>
  <si>
    <t>หน้าจอ บันทึกรหัสเครื่องหมายการค้าหลัก (บันทึกรายการ)
- กรอกข้อมูล วันที่สิ้นสุดใช้รหัสเครื่องหมายการค้าหลัก อักขระพิเศษ</t>
  </si>
  <si>
    <t>หน้าจอ บันทึกรหัสเครื่องหมายการค้าหลัก (บันทึกรายการ)
- กรอกข้อมูล วันที่สิ้นสุดใช้รหัสเครื่องหมายการค้าหลัก space bar (ค่าว่าง)</t>
  </si>
  <si>
    <t>หน้าจอ บันทึกรหัสเครื่องหมายการค้าหลัก (บันทึกรายการ)
- กรอกข้อมูล วันที่สิ้นสุดใช้รหัสเครื่องหมายการค้าหลัก Max length</t>
  </si>
  <si>
    <t>หน้าจอ บันทึกรหัสเครื่องหมายการค้าหลัก (บันทึกรายการ)
- กรอกข้อมูลครบถ้วน
- กดปุ่ม บันทึก</t>
  </si>
  <si>
    <t>ปิดแจ้งเตือน และแสดงข้อมูลที่บันทึกในตรางแสดงผล</t>
  </si>
  <si>
    <t xml:space="preserve">หน้าจอ บันทึกรหัสเครื่องหมายการค้าหลัก (บันทึกรายการ)
- กรอกข้อมูลครบถ้วน
- กดปุ่ม ลบ
</t>
  </si>
  <si>
    <t xml:space="preserve">ระบบแสดงแจ้งเตือน "ลบข้อมูลไม่สำเร็จ โปรดลองอีกครั้ง"
ปุ่ม OK </t>
  </si>
  <si>
    <t xml:space="preserve">หน้าจอ บันทึกรหัสเครื่องหมายการค้าหลัก (บันทึกรายการ)
- กรอกข้อมูลครบถ้วน
- กดปุ่ม ค้นหา
</t>
  </si>
  <si>
    <t xml:space="preserve">ระบบแสดงแจ้งเตือน "ไม่พบข้อมูล โปรดลองใหม่อีกครั้ง"
ปุ่ม OK </t>
  </si>
  <si>
    <t xml:space="preserve">หน้าจอ บันทึกรหัสแบบรุ่น (บันทึกรายการ)
- กรอกข้อมูลครบถ้วน
- กดปุ่ม ล้างข้อมูล
</t>
  </si>
  <si>
    <t>สามารถกดปุ่มล้างข้อมูลได้ และ ทำการล้างข้อมูลที่กรอกทั้งหมด</t>
  </si>
  <si>
    <t>ทดสอบแก้ไขข้อมูล บันทึกรหัสเครื่องหมายการค้าหลัก</t>
  </si>
  <si>
    <t>หน้าจอ บันทึกรหัสเครื่องหมายการค้าหลัก (บันทึกรายการ)
- กดปุ่ม ค้นหา</t>
  </si>
  <si>
    <t>ระบบแสดงข้อมููลทั้งหมดที่มีในระบบ รูปแบบ Data Tabel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</si>
  <si>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</t>
  </si>
  <si>
    <t>ระบบแสดงรายละเอียดทั้งหมดของข้อมูลที่เลือก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</si>
  <si>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</t>
  </si>
  <si>
    <t>สามารถแก้ไขข้อมูลได้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</si>
  <si>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ชื่อเครื่องหมายการค้า (ไทย) : กรอกข้อมูลภาษาไทย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</si>
  <si>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ชื่อเครื่องหมายการค้า (อังกฤษ) : กรอกข้อมูลภาษาอังกฤษ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</si>
  <si>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ชื่อเครื่องหมายการค้า (ไทย) Max length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</si>
  <si>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ชื่อเครื่องหมายการค้า (อังกฤษ) Max length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</si>
  <si>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วันที่เริ่มใช้รหัสเครื่องหมายการค้าหลัก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</si>
  <si>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วันที่เริ่มใช้รหัสเครื่องหมายการค้าหลัก ภาษาไทย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</si>
  <si>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วันที่เริ่มใช้รหัสเครื่องหมายการค้าหลักภาษาอังกฤษ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</si>
  <si>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วันที่เริ่มใช้รหัสเครื่องหมายการค้าหลัก ตัวเลข ตาม Format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</si>
  <si>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วันที่เริ่มใช้รหัสเครื่องหมายการค้าหลัก ตัวเลข ไม่ตาม Format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</si>
  <si>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วันที่เริ่มใช้รหัสเครื่องหมายการค้าหลัก อักขระพิเศษ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</si>
  <si>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วันที่เริ่มใช้รหัสเครื่องหมายการค้าหลัก space bar (ค่าว่าง)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</si>
  <si>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วันที่เริ่มใช้รหัสเครื่องหมายการค้าหลัก Max length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</si>
  <si>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วันที่สิ้นสุดใช้รหัสเครื่องหมายการค้าหลัก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</si>
  <si>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วันที่สิ้นสุดใช้รหัสเครื่องหมายการค้าหลัก ภาษาไทย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</si>
  <si>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วันที่สิ้นสุดใช้รหัสเครื่องหมายการค้าหลัก ภาษาอังกฤษ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</si>
  <si>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วันที่สิ้นสุดใช้รหัสเครื่องหมายการค้าหลัก ตัวเลข ตาม Format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</si>
  <si>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วันที่สิ้นสุดใช้รหัสเครื่องหมายการค้าหลัก ตัวเลข ไม่ตาม Format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</si>
  <si>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วันที่สิ้นสุดใช้รหัสเครื่องหมายการค้าหลัก อักขระพิเศษ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</si>
  <si>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วันที่สิ้นสุดใช้รหัสเครื่องหมายการค้าหลัก space bar (ค่าว่าง)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</si>
  <si>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วันที่สิ้นสุดใช้รหัสเครื่องหมายการค้าหลัก Max length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</si>
  <si>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แก้ไข้ข้อมูลครบถ้วน
- กดปุ่ม บันทึก</t>
  </si>
  <si>
    <t xml:space="preserve"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แก้ไข้ข้อมูลครบถ้วน
- กดปุ่ม ลบ
</t>
  </si>
  <si>
    <t xml:space="preserve">ระบบแสดงแจ้งเตือน "ลบข้อมูลไม่สำเร็จ โปรดลองใหม่อีกครั้ง"
ปุ่ม OK </t>
  </si>
  <si>
    <t xml:space="preserve"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
- กดปุ่ม บันทึก
- กดปุ่ม ค้นหา
</t>
  </si>
  <si>
    <t xml:space="preserve"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
- กดปุ่ม ล้างข้อมูล
</t>
  </si>
  <si>
    <t xml:space="preserve">ทดสอบค้นหาข้อมูล บันทึกรหัสเครื่องหมายการค้าหลัก 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</si>
  <si>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ค้นหา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</si>
  <si>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กดปุ่ม ค้นหา</t>
  </si>
  <si>
    <t>ระบบแสดงข้อมูลชื่อเครื่องหมายการค้าหลัก ตามชื่อกลุ่มสินค้าที่เลือกที่มีในระบบทั้งหมดใน รูปแบบ Data Tabel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</si>
  <si>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ชื่อเครื่องหมายการค้า (ไทย) : กรอกข้อมูลภาษาไทย
- กดปุ่ม ค้นหา</t>
  </si>
  <si>
    <t>สามารถค้นหาข้อมูล และระบบแสดงข้อมูลที่ค้นหา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</si>
  <si>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ชื่อเครื่องหมายการค้า (ไทย) : กรอกข้อมูลภาษาไทย ที่ไม่มีในระบบ
- กดปุ่ม ค้นหา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</si>
  <si>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ชื่อเครื่องหมายการค้า (ไทย) : กรอกข้อมูลภาษาไทย ตัวอักษรบางตัว ที่มีในระบบ
- กดปุ่ม ค้นหา</t>
  </si>
  <si>
    <t>สามารถค้นหาข้อมูลที่มีตัวอักษรดังกล่าวในระบบ และระบบแสดงข้อมูลที่ค้นหา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</si>
  <si>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ชื่อเครื่องหมายการค้า (อังกฤษ) : กรอกข้อมูลภาษาอังกฤษ
- กดปุ่ม ค้นหา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</si>
  <si>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ชื่อเครื่องหมายการค้า (อังกฤษ) : กรอกข้อมูลภาษาอังกฤษ ด้วยตัวอักษรบางตัว ที่มีในระบบ
- กดปุ่ม ค้นหา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</si>
  <si>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ชื่อเครื่องหมายการค้า (อังกฤษ) : กรอกข้อมูลภาษาอังกฤษ ที่ไม่มีในระบบ
- กดปุ่ม ค้นหา</t>
  </si>
  <si>
    <t>สามารถค้นหาข้อมูล และระบบแสดงข้อมูล ชื่อเครื่องหมายการค้าหลัก (อังกฤษ) ที่ประกอบด้วยตัวเลขที่ค้นหาได้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</si>
  <si>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ชื่อเครื่องหมายการค้าหลัก ที่มีในระบบ
- กดปุ่ม ค้นหา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</si>
  <si>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ชื่อเครื่องหมายการค้าหลัก ที่ไม่มีในระบบ
- กดปุ่ม ค้นหา</t>
  </si>
  <si>
    <t xml:space="preserve">หน้าจอ บันทึกรหัสเครื่องหมายการค้าหลัก (บันทึกรายการ)
- เลือกหรือกรอกชื่อกลุ่มสินค้า
- กดปุ่ม ตกลง
- เลือกข้อมูล วันที่เริ่มใช้รหัสชื่อเครื่องหมายการค้าหลัก
</t>
  </si>
  <si>
    <t>สามารถเลือกหรือกรอกข้อมูลได้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</si>
  <si>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วันที่เริ่มใช้ชื่อเครื่องหมายการค้าหลัก ที่มีในระบบ
- กดปุ่ม ค้นหา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</si>
  <si>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วันที่เริ่มใช้รหัสชื่อเครื่องหมายการค้าหลัก ที่ไม่มีในระบบ
- กดปุ่ม ค้นหา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</si>
  <si>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เลือกข้อมูล วันที่สิ้นสุดใช้รหัสชื่อเครื่องหมายการค้าหลัก</t>
  </si>
  <si>
    <t>ไม่สามรถเลือกวันที่สิ้นสุดใช้รหัสชื่อเครื่องหมายการค้าหลักได้ ต้องกรอกหรือเลือกวันที่เริ่มใช้รหัสชื่อเครื่องหมายการค้าหลักก่อน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</si>
  <si>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วันที่สิ้นสุดใช้รหัสชื่อเครื่องหมายการค้าหลัก ที่มีในระบบ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</si>
  <si>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วันที่สิ้นสุดใช้รหัสชื่อเครื่องหมายการค้าหลัก ที่ไม่มีในระบบ</t>
  </si>
  <si>
    <t>ทดสอบลบข้อมูล บันทึกรหัสเครื่องหมายการค้าหลัก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</si>
  <si>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กดปุ่ม ลบ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</si>
  <si>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บันทึกราย บางรายการ
- กดปุ่ม ลบ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</si>
  <si>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บันทึกราย ครบถ้วน
- กดปุ่ม ลบ</t>
  </si>
  <si>
    <t xml:space="preserve"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กดปุ่ม ค้นหา
</t>
  </si>
  <si>
    <t xml:space="preserve">ระบบแสดงข้อมูลที่ต้องการลบ </t>
  </si>
  <si>
    <t>หน้าจอ บันทึกรหัสเครื่องหมายการค้าหลัก (บันทึกรายการ)
- เลือกข้อมูลที่ต้องการลบ</t>
  </si>
  <si>
    <t>ทดสอบล้างข้อมูล บันทึกรหัสเครื่องหมายการค้าหลัก</t>
  </si>
  <si>
    <t xml:space="preserve"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ในช่องชื่อเครื่องหมายการค้า (ไทย)
- กดปุ่ม ล้าง
</t>
  </si>
  <si>
    <t>สามารถล้างข้อมูลที่กรอกได้</t>
  </si>
  <si>
    <t xml:space="preserve"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ในช่องชื่อเครื่องหมายการค้า (อังกฤษ)
- กดปุ่ม ล้าง
</t>
  </si>
  <si>
    <t xml:space="preserve"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ในช่องวันที่เริ่มใช้รหัสเครื่องหมายการค้า
- กดปุ่ม ล้าง
</t>
  </si>
  <si>
    <t xml:space="preserve"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ในช่องวันที่เริ่มใช้รหัส
เครื่องหมายการค้า
- กรอกข้อมูล ในช่องวันที่สิ้นสุดใช้รหัสเครื่องหมายการค้า
- กดปุ่ม ล้าง
</t>
  </si>
  <si>
    <t xml:space="preserve"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ในช่องวันที่สิ้นสุดใช้รหัสเครื่องหมายการค้า
- กดปุ่ม ล้าง
</t>
  </si>
  <si>
    <t xml:space="preserve"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บันทึกรายการ ครบถ้วน
- กดปุ่ม ล้าง
</t>
  </si>
  <si>
    <t>สามารถล้างข้อมูลที่กรอกทั้งหมดได้</t>
  </si>
  <si>
    <t>หน้าจอ รหัสเครื่องหมายการค้าหลัก 
- กดปุ่ม ค้นหา</t>
  </si>
  <si>
    <t xml:space="preserve">ตรวจสอบหัวตารางแสดงผล รหัสเครื่องหมายการค้าหลัก </t>
  </si>
  <si>
    <t>ระบบแสดงหัวตารางแสดงผลรหัสเครื่องหมายการค้าหลัก ได้ถูกต้อง</t>
  </si>
  <si>
    <t xml:space="preserve">ตรวจสอบหัวตารางแสดงผล ชื่อเครื่องหมายการค้าหลัก (ไทย) </t>
  </si>
  <si>
    <t>ระบบแสดงหัวตารางแสดงผล ชื่อเครื่องหมายการค้าหลัก (ไทย) ได้ถูกต้อง</t>
  </si>
  <si>
    <t>ตรวจสอบหัวตารางแสดงผล ชื่อเครื่องหมายการค้าหลัก (อังกฤษ)</t>
  </si>
  <si>
    <t>ระบบแสดงหัวตารางแสดงผล ชื่อเครื่องหมายการค้าหลัก (อังกฤษ) ได้ถูกต้อง</t>
  </si>
  <si>
    <t xml:space="preserve">ตรวจสอบหัวตารางแสดงผล วันที่เริ่มใช้รหัสเครื่องหมายการค้า </t>
  </si>
  <si>
    <t>ระบบแสดงหัวตารางแสดงผล วันที่เริ่มใช้รหัสเครื่องหมายการค้า ได้ถูกต้อง</t>
  </si>
  <si>
    <t xml:space="preserve">ตรวจสอบหัวตารางแสดงผล วันที่สิ้นสุดใช้รหัสเครื่องหมายการค้า </t>
  </si>
  <si>
    <t>ระบบแสดงหัวตารางแสดงผล วันที่สิ้นสุดใช้รหัสเครื่องหมายการค้า ได้ถูกต้อง</t>
  </si>
  <si>
    <t>ตรวจสอบข้อมูล รหัสเครื่องหมายการค้าหลัก</t>
  </si>
  <si>
    <t>ระบบแสดงข้อมูลรหัสเครื่องหมายการค้ารอง ได้ถูกต้อง</t>
  </si>
  <si>
    <t>ตรวจสอบหน้าจอ บันทึกรหัสเครื่องหมายการค้ารอง</t>
  </si>
  <si>
    <t>หน้าจอ กรมสรรพสามิตร
- กดปุ่ม/Tab บันทึกรหัสเครื่องหมายการค้ารอง</t>
  </si>
  <si>
    <t>ระบบแสดงหน้าจอ บันทึกรหัสเครื่องหมายการค้ารอง ประกอบด้วย :
1. เครื่องหมายการค้ารอง
   - ชื่อกลุ่มสินค้า
   - เครื่องหมายการค้าหลัก
   - ปุ่มตกลง
   - ปุ่มล้าง
2. บันทึกรายการ
   - รหัสเครื่องหมายการค้ารอง
   - ชื่อเครื่องหมายการค้ารอง (ไทย)
   - ชื่อเครื่องหมายการค้ารอง (อังกฤษ)
   - วันที่เริ่มใช้รหัสเครื่องหมายการค้ารอง
   - วันที่สิ้นสุดใช้รหัสเครื่องหมายการค้ารอง
   - ปุ่มบันทึก
   - ปุ่มลบ
   - ปุ่มค้นหา
   - ปุ่มล้างข้อมูล
3. ตารางแสดงผลข้อมูล
   - รหัสเครื่องหมายการค้ารอง 
   - ชื่อเครื่องหมายการค้ารอง (ไทย) 
   - ชื่อเครื่องหมายการค้ารอง (อังกฤษ)
   - วันที่เริ่มใช้รหัสเครื่องหมายการค้ารอง
   - วันที่สิ้นสุดใช้รหัสเครื่องหมายการค้ารอง
   - dropdown list เลือกจำนวนหน้า
   - รายการแสดงจำนวนหน้าที่เลือก
   - ปุ่มก่อน...ถัดไป</t>
  </si>
  <si>
    <t>ทดสอบไม่เลือก / กรอกชื่อกลุ่มสินค้า (หน้าเครื่องหมายการค้ารอง)</t>
  </si>
  <si>
    <t>หน้าจอ บันทึกรหัสเครื่องหมายการค้ารอง(เครื่องหมายการค้ารอง)
- กดปุ่ม ตกลง</t>
  </si>
  <si>
    <t>หน้าจอ บันทึกรหัสเครื่องหมายการค้ารอง(เครื่องหมายการค้ารอง)
- กดปุ่ม ล้าง</t>
  </si>
  <si>
    <t>ทดสอบเลือก / กรอกชื่อกลุ่มสินค้า 
(หน้าเครื่องหมายการค้ารอง)</t>
  </si>
  <si>
    <t xml:space="preserve">หน้าจอ บันทึกรหัสเครื่องหมายการค้ารอง(เครื่องหมายการค้ารอง)
- กด Dropdownlist </t>
  </si>
  <si>
    <t>หน้าจอ บันทึกรหัสเครื่องหมายการค้ารอง(เครื่องหมายการค้ารอง)
- กด Dropdownlist
- เลือกหรือกรอกข้อมูล ชื่อกลุ่มสินค้า</t>
  </si>
  <si>
    <t>หน้าจอ บันทึกรหัสเครื่องหมายการค้ารอง(เครื่องหมายการค้ารอง)
- กด Dropdownlist 
- กรอกข้อมูล ชื่อกลุ่มสินค้า : ภาษาไทย</t>
  </si>
  <si>
    <t>หน้าจอ บันทึกรหัสเครื่องหมายการค้ารอง(เครื่องหมายการค้ารอง)
- กด Dropdownlist
- กรอกข้อมูล ชื่อกลุ่มสินค้า : ตัวเลข</t>
  </si>
  <si>
    <t>หน้าจอ บันทึกรหัสเครื่องหมายการค้ารอง(เครื่องหมายการค้ารอง)
- กด Dropdownlist
- กรอกข้อมูล ชื่อกลุ่มสินค้า : อักขระพิเศษ</t>
  </si>
  <si>
    <t>หน้าจอ บันทึกรหัสเครื่องหมายการค้ารอง(เครื่องหมายการค้ารอง)
- กด Dropdownlist
- กรอกข้อมูล ชื่อกลุ่มสินค้า : space bar (ค่าว่าง)</t>
  </si>
  <si>
    <t>หน้าจอ บันทึกรหัสเครื่องหมายการค้ารอง(เครื่องหมายการค้ารอง)
- กด Dropdownlist
- กรอกข้อมูล ชื่อกลุ่มสินค้า : ที่มีในระบบ</t>
  </si>
  <si>
    <t>หน้าจอ บันทึกรหัสเครื่องหมายการค้ารอง(เครื่องหมายการค้ารอง)
- กด Dropdownlist
- กรอกข้อมูล ชื่อกลุ่มสินค้า : ที่ไม่มีในระบบ</t>
  </si>
  <si>
    <t>หน้าจอ  บันทึกรหัสเครื่องหมายการค้ารอง(เครื่องหมายการค้ารอง)
- กด Dropdownlist
- กรอกหรือเลือก ชื่อกลุ่มสินค้า
- กดปุ่ม ตกลง</t>
  </si>
  <si>
    <t>ระบบแสดงข้อความ "กรุณาระบุรหัสเครื่องหมายการค้าหลัก"
ปุ่ม OK</t>
  </si>
  <si>
    <t>หน้าจอ บันทึกรหัสเครื่องหมายการค้ารอง(เครื่องหมายการค้ารอง)
- กด Dropdownlist
- เลือก / กรอกข้อมูล ชื่อกลุ่มสินค้า
- กดปุ่ม ล้าง</t>
  </si>
  <si>
    <t>ทดสอบเลือก / กรอกชื่อเครื่องหมายการค้าหลัก (หน้าเครื่องหมายการค้ารอง)</t>
  </si>
  <si>
    <t>หน้าจอ บันทึกรหัสเครื่องหมายการค้ารอง(เครื่องหมายการค้ารอง)
- กด Dropdownlist 
- กรอกหรือเลือก ชื่อกลุ่มสินค้า
- เลือกหรือกรอกข้อมูล ชื่อเครื่องหมายการค้าหลัก</t>
  </si>
  <si>
    <t>หน้าจอ บันทึกรหัสเครื่องหมายการค้ารอง(เครื่องหมายการค้ารอง)
- กด Dropdownlist
- เลือกหรือกรอกข้อมูล ชื่อเครื่องหมายการค้าหลัก</t>
  </si>
  <si>
    <t>สามารถเลือกข้อมูลชื่อเครื่องหมายการค้าหลักได้</t>
  </si>
  <si>
    <t>หน้าจอ บันทึกรหัสเครื่องหมายการค้ารอง(เครื่องหมายการค้ารอง)
- กด Dropdownlist 
- กรอกข้อมูล ชื่อเครื่องหมายการค้าหลัก : ภาษาไทย</t>
  </si>
  <si>
    <t>สามารถกรอกข้อมูลชื่อเครื่องหมายการค้าหลักเป็นภาษาไทยได้ และระบบแสดงข้อมูลที่ทำการค้นหา</t>
  </si>
  <si>
    <t>หน้าจอ บันทึกรหัสเครื่องหมายการค้ารอง(เครื่องหมายการค้ารอง)
- กด Dropdownlist
- กรอกข้อมูล ชื่อเครื่องหมายการค้าหลัก : ตัวเลข</t>
  </si>
  <si>
    <t>สามารถกรอกข้อมูลชื่อเครื่องหมายการค้าหลักเป็นตัวเลขได้ และระบบแสดงข้อมูลที่ทำการค้นหา</t>
  </si>
  <si>
    <t>หน้าจอ บันทึกรหัสเครื่องหมายการค้ารอง(เครื่องหมายการค้ารอง)
- กด Dropdownlist
- กรอกข้อมูล ชื่อเครื่องหมายการค้าหลัก : อักขระพิเศษ</t>
  </si>
  <si>
    <t>สามารถกรอกข้อมูลชื่อเครื่องหมายการค้าหลักเป็นอักขระพิเศษได้ และระบบแสดงข้อมูลที่ทำการค้นหา</t>
  </si>
  <si>
    <t>หน้าจอ บันทึกรหัสเครื่องหมายการค้ารอง(เครื่องหมายการค้ารอง)
- กด Dropdownlist
- กรอกข้อมูล ชื่อเครื่องหมายการค้าหลัก : space bar (ค่าว่าง)</t>
  </si>
  <si>
    <t>สามารถกรอกข้อมูลชื่อเครื่องหมายการค้าหลักเป็น space bar (ค่าว่าง) ได้ และระบบแสดงข้อมูลที่ทำการค้นหา</t>
  </si>
  <si>
    <t>หน้าจอ บันทึกรหัสเครื่องหมายการค้ารอง(เครื่องหมายการค้ารอง)
- กด Dropdownlist
- กรอกข้อมูล ชื่อเครื่องหมายการค้าหลัก : ที่มีในระบบ</t>
  </si>
  <si>
    <t>สามารถกรอกข้อมูลชื่อเครื่องหมายการค้าหลักได้ และระบบแสดงข้อมูลที่ทำการค้นหา</t>
  </si>
  <si>
    <t>หน้าจอ  บันทึกรหัสเครื่องหมายการค้ารอง(เครื่องหมายการค้ารอง)
- กด Dropdownlist
- กรอกข้อมูล ชื่อเครื่องหมายการค้าหลัก : ที่ไม่มีในระบบ</t>
  </si>
  <si>
    <t>หน้าจอ  บันทึกรหัสเครื่องหมายการค้ารอง(เครื่องหมายการค้ารอง)
- กด Dropdownlist
- กรอกหรือเลือก เครื่องหมายการค้าหลัก
- กดปุ่ม ตกลง</t>
  </si>
  <si>
    <t>ไม่สามารถเลือกหรือกรอกข้อมูลได้ ต้องทำการเลือกหรือกรอกชื่อกลุ่มสินค้าก่อน</t>
  </si>
  <si>
    <t>หน้าจอ  บันทึกรหัสเครื่องหมายการค้ารอง(เครื่องหมายการค้ารอง)
- กด Dropdownlist
- กรอกหรือเลือก ชื่อกลุ่มสินค้า
- กรอกหรือเลือก เครื่องหมายการค้าหลัก
- กดปุ่ม ตกลง</t>
  </si>
  <si>
    <t>สามารถกรอกข้อมูล บันทึกรายการได้</t>
  </si>
  <si>
    <t>หน้าจอ บันทึกรหัสเครื่องหมายการค้ารอง(เครื่องหมายการค้ารอง)
- กด Dropdownlist
- เลือก / กรอกข้อมูล ชื่อกลุ่มสินค้า 
- เลือก / กรอกข้อมูล ชื่อเครื่องหมายการค้า
- กดปุ่ม ล้าง</t>
  </si>
  <si>
    <t xml:space="preserve">หน้าจอ บันทึกรหัสเครื่องหมายการค้ารอง (บันทึกรายการ)
- กดปุ่ม บันทึก
</t>
  </si>
  <si>
    <t xml:space="preserve">หน้าจอ บันทึกรหัสเครื่องหมายการค้ารอง (บันทึกรายการ)
- กดปุ่ม ลบ
</t>
  </si>
  <si>
    <t xml:space="preserve">หน้าจอ บันทึกรหัสเครื่องหมายการค้ารอง (บันทึกรายการ)
- กดปุ่ม ค้นหา
</t>
  </si>
  <si>
    <t xml:space="preserve">หน้าจอ บันทึกรหัสเครื่องหมายการค้ารอง (บันทึกรายการ)
- กดปุ่ม ล้างข้อมูล
</t>
  </si>
  <si>
    <t>หน้าจอ บันทึกรหัสเครื่องหมายการค้ารอง (บันทึกรายการ)
- กรอกหรือเลือกชื่อกลุ่มสินค้า 
- กดปุ่ม บันทึก</t>
  </si>
  <si>
    <t>หน้าจอ บันทึกรหัสเครื่องหมายการค้ารอง (บันทึกรายการ)
- กรอกหรือเลือกเครื่องหมายการค้าหลัก
- กดปุ่ม บันทึก</t>
  </si>
  <si>
    <t>ไม่สามารถกรอกหรือเลือกเครื่องหมายการค้าหลักได้ ต้องเลือกหรือกรอกชื่อกลุ่มสินค้าก่อน</t>
  </si>
  <si>
    <t>หน้าจอ บันทึกรหัสเครื่องหมายการค้ารอง (บันทึกรายการ)
- กรอกหรือเลือกชื่อกลุ่มสินค้า 
- กรอกหรือเลือกเครื่องหมายการค้าหลัก
- กดปุ่ม บันทึก</t>
  </si>
  <si>
    <t>หน้าจอ บันทึกรหัสเครื่องหมายการค้ารอง (บันทึกรายการ)
- กรอกหรือเลือกชื่อกลุ่มสินค้า 
- กดปุ่ม ตกลง
- กดปุ่ม บันทึก</t>
  </si>
  <si>
    <t>หน้าจอ บันทึกรหัสเครื่องหมายการค้ารอง (บันทึกรายการ)
- กรอกหรือเลือกเครื่องหมายการค้าหลัก
- กดปุ่ม ตกลง
- กดปุ่ม บันทึก</t>
  </si>
  <si>
    <t>หน้าจอ บันทึกรหัสเครื่องหมายการค้ารอง (บันทึกรายการ)
- กรอกหรือเลือกชื่อกลุ่มสินค้า 
- กรอกหรือเลือกเครื่องหมายการค้าหลัก
- กดปุ่ม ตกลง
- กดปุ่ม บันทึก</t>
  </si>
  <si>
    <t>หน้าจอ บันทึกรหัสเครื่องหมายการค้ารอง (บันทึกรายการ)
 - เลือกหรือกรอกชื่อกลุ่มสินค้า
 - เลือกหรือกรอกเครื่องหมายการค้าหลัก
 - กดปุ่ม ตกลง
 - กรอกชื่อเครื่องหมายการค้า (ภาษาไทย) : กรอกข้อมูลเป็นภาษาไทย
 - กดปุ่ม บันทึก</t>
  </si>
  <si>
    <t>หน้าจอ บันทึกรหัสเครื่องหมายการค้ารอง (บันทึกรายการ)
 - เลือกชื่อกลุ่มสินค้า
 - เลือกหรือกรอกเครื่องหมายการค้าหลัก
 - กดปุ่ม ตกลง
 - กรอกชื่อเครื่องหมายการค้า (ภาษาไทย) : กรอกข้อมูลเป็นภาษาไทย
 - เลือก/กรอกข้อมูล วันที่เริ่มใช้รหัสเครื่องหมายการค้า
 - กดปุ่ม บันทึก</t>
  </si>
  <si>
    <t>หน้าจอ บันทึกรหัสเครื่องหมายการค้ารอง  (บันทึกรายการ)
 - เลือกชื่อกลุ่มสินค้า
 - เลือกหรือกรอกเครื่องหมายการค้าหลัก
 - กดปุ่ม ตกลง
 - กรอกชื่อเครื่องหมายการค้า (ภาษาไทย) : กรอกข้อมูลเป็นภาษาไทย
 - เลือก/กรอกข้อมูล วันที่สิ้นสุดใช้รหัสเครื่องหมายการค้า
 - กดปุ่ม บันทึก</t>
  </si>
  <si>
    <t>หน้าจอ บันทึกรหัสเครื่องหมายการค้ารอง (บันทึกรายการ)
 - เลือกชื่อกลุ่มสินค้า
 - เลือกหรือกรอกเครื่องหมายการค้าหลัก
 - กดปุ่ม ตกลง
 - กรอกชื่อเครื่องหมายการค้า (ภาษาอังกฤษ) : กรอกข้อมูลเป็นภาษาอังกฤษ
 - กดปุ่ม บันทึก</t>
  </si>
  <si>
    <t>หน้าจอ บันทึกรหัสเครื่องหมายการค้ารอง (บันทึกรายการ)
 - เลือกชื่อกลุ่มสินค้า
 - เลือกหรือกรอกเครื่องหมายการค้าหลัก
 - กดปุ่ม ตกลง
 - กรอกชื่อเครื่องหมายการค้า (ภาษาอังกฤษ) : กรอกข้อมูลเป็นภาษาอังกฤษ
 - เลือก/กรอกข้อมูล วันที่เริ่มใช้รหัสเครื่องหมายการค้า
 - กดปุ่ม บันทึก</t>
  </si>
  <si>
    <t>หน้าจอ บันทึกรหัสเครื่องหมายการค้ารอง (บันทึกรายการ)
 - เลือกชื่อกลุ่มสินค้า
 - เลือกหรือกรอกเครื่องหมายการค้าหลัก
 - กดปุ่ม ตกลง
 - กรอกชื่อเครื่องหมายการค้า (ภาษาอังกฤษ) : กรอกข้อมูลเป็นภาษาอังกฤษ
 - เลือก/กรอกข้อมูล วันที่สิ้นสุดใช้รหัสเครื่องหมายการค้า
 - กดปุ่ม บันทึก</t>
  </si>
  <si>
    <t>หน้าจอ บันทึกรหัสเครื่องหมายการค้ารอง (บันทึกรายการ)
 - เลือกชื่อกลุ่มสินค้า
 - เลือกหรือกรอกเครื่องหมายการค้าหลัก
 - กดปุ่ม ตกลง
 - กรอกชื่อเครื่องหมายการค้า (ภาษาไทย) : กรอกข้อมูลเป็นภาษาอังกฤษ
 - กดปุ่ม บันทึก</t>
  </si>
  <si>
    <t>หน้าจอ บันทึกรหัสเครื่องหมายการค้ารอง (บันทึกรายการ)
 - เลือกชื่อกลุ่มสินค้า
 - เลือกหรือกรอกเครื่องหมายการค้าหลัก
 - กดปุ่ม ตกลง
 - กรอกชื่อเครื่องหมายการค้า (ภาษาไทย) : กรอกข้อมูลเป็นภาษาอังกฤษ
 - เลือก/กรอกข้อมูล วันที่เริ่มใช้รหัสเครื่องหมายการค้า
 - กดปุ่ม บันทึก</t>
  </si>
  <si>
    <t>หน้าจอ บันทึกรหัสเครื่องหมายการค้ารอง (บันทึกรายการ)
 - เลือกชื่อกลุ่มสินค้า
 - เลือกหรือกรอกเครื่องหมายการค้าหลัก
 - กดปุ่ม ตกลง
 - กรอกชื่อเครื่องหมายการค้า (ภาษาไทย) : กรอกข้อมูลเป็นภาษาอังกฤษ
 - เลือก/กรอกข้อมูล วันที่สิ้นสุดใช้รหัสเครื่องหมายการค้า
 - กดปุ่ม บันทึก</t>
  </si>
  <si>
    <t>หน้าจอ บันทึกรหัสเครื่องหมายการค้ารอง (บันทึกรายการ)
 - เลือกชื่อกลุ่มสินค้า
 - เลือกหรือกรอกเครื่องหมายการค้าหลัก
 - กดปุ่ม ตกลง
 - กรอกชื่อเครื่องหมายการค้า (ภาษาอังกฤษ) : กรอกข้อมูลเป็นภาษาไทย
 - กดปุ่ม บันทึก</t>
  </si>
  <si>
    <t>หน้าจอ บันทึกรหัสเครื่องหมายการค้ารอง (บันทึกรายการ)
 - เลือกชื่อกลุ่มสินค้า
 - กดปุ่ม ตกลง
 - กรอกชื่อเครื่องหมายการค้า (ภาษาอังกฤษ) : กรอกข้อมูลเป็นภาษาไทย
 - เลือก/กรอกข้อมูล วันที่สิ้นสุดใช้รหัสเครื่องหมายการค้า
 - กดปุ่ม บันทึก</t>
  </si>
  <si>
    <t>หน้าจอ บันทึกรหัสเครื่องหมายการค้ารอง (บันทึกรายการ)
 - กรอกชื่อเครื่องหมายการค้ารอง (ภาษาไทย) : กรอกข้อมูลเป็นภาษาไทย</t>
  </si>
  <si>
    <t>หน้าจอ บันทึกรหัสเครื่องหมายการค้ารอง (บันทึกรายการ)
- กรอกชื่อเครื่องหมายการค้ารอง (ภาษาอังกฤษ) : กรอกข้อมูลเป็นภาษาอังกฤษ</t>
  </si>
  <si>
    <t>หน้าจอ บันทึกรหัสเครื่องหมายการค้ารอง (บันทึกรายการ)
 - กรอกชื่อเครื่องหมายการค้ารอง (ภาษาไทย) : กรอกข้อมูลเป็นภาษาอังกฤษ</t>
  </si>
  <si>
    <t>หน้าจอ บันทึกรหัสเครื่องหมายการค้ารอง (บันทึกรายการ)
- กรอกชื่อเครื่องหมายการค้ารอง (ภาษาอังกฤษ) : กรอกข้อมูลเป็นภาษาไทย</t>
  </si>
  <si>
    <t>หน้าจอ บันทึกรหัสเครื่องหมายการค้ารอง (บันทึกรายการ)
- กรอกข้อมูล กรอกชื่อเครื่องหมายการค้ารอง (ไทย) Max length</t>
  </si>
  <si>
    <t>หน้าจอ บันทึกรหัสเครื่องหมายการค้ารอง (บันทึกรายการ)
- กรอกข้อมูล กรอกชื่อเครื่องหมายการค้ารอง  (ภาษาอังกฤษ) Max length</t>
  </si>
  <si>
    <t>หน้าจอ บันทึกรหัสเครื่องหมายการค้ารอง (บันทึกรายการ)
- เลือกข้อมูล วันที่เริ่มใช้รหัสเครื่องหมายการค้ารอง</t>
  </si>
  <si>
    <t>สามารถเลือกข้อมูลวันที่เริ่มใช้รหัสเครื่องหมายการค้ารองได้</t>
  </si>
  <si>
    <t>หน้าจอ บันทึกรหัสเครื่องหมายการค้ารอง (บันทึกรายการ)
- กรอกข้อมูล วันที่เริ่มใช้รหัสเครื่องหมายการค้ารอง ภาษาไทย</t>
  </si>
  <si>
    <t>ไม่สามารถกรอกข้อมูลวันที่เริ่มใช้รหัสเครื่องหมายการค้ารองได้ ระบบ Default เป็นวันที่ปัจจุบัน</t>
  </si>
  <si>
    <t>หน้าจอ บันทึกรหัสเครื่องหมายการค้ารอง (บันทึกรายการ)
- กรอกข้อมูล วันที่เริ่มใช้รหัสเครื่องหมายการค้ารอง ภาษาอังกฤษ</t>
  </si>
  <si>
    <t>หน้าจอ บันทึกรหัสเครื่องหมายการค้ารอง (บันทึกรายการ)
- กรอกข้อมูล วันที่เริ่มใช้รหัสเครื่องหมายการค้ารอง ตัวเลข ตาม Format</t>
  </si>
  <si>
    <t>สามารถกรอกข้อมูลวันที่เริ่มใช้รหัสเครื่องหมายการค้ารองได้</t>
  </si>
  <si>
    <t>หน้าจอ บันทึกรหัสเครื่องหมายการค้ารอง (บันทึกรายการ)
- กรอกข้อมูล วันที่เริ่มใช้รหัสเครื่องหมายการค้ารอง ตัวเลข ไม่ตาม Format</t>
  </si>
  <si>
    <t>หน้าจอ บันทึกรหัสเครื่องหมายการค้ารอง (บันทึกรายการ)
- กรอกข้อมูล วันที่เริ่มใช้รหัสเครื่องหมายการค้ารอง อักขระพิเศษ</t>
  </si>
  <si>
    <t>หน้าจอ บันทึกรหัสเครื่องหมายการค้ารอง (บันทึกรายการ)
- กรอกข้อมูล วันที่เริ่มใช้รหัสเครื่องหมายการค้ารอง space bar (ค่าว่าง)</t>
  </si>
  <si>
    <t>หน้าจอ บันทึกรหัสเครื่องหมายการค้ารอง (บันทึกรายการ)
- กรอกข้อมูล วันที่เริ่มใช้รหัสเครื่องหมายการค้ารอง Max length</t>
  </si>
  <si>
    <t>ไม่สามารถกรอกข้อมูลวันที่เริ่มใช้รหัสเครื่องหมายการค้ารอง ได้ ระบบ Default เป็นวันที่ปัจจุบัน</t>
  </si>
  <si>
    <t>หน้าจอ บันทึกรหัสเครื่องหมายการค้ารอง (บันทึกรายการ)
- เลือกข้อมูล วันที่สิ้นสุดใช้รหัสเครื่องหมายการค้ารอง</t>
  </si>
  <si>
    <t>สามารถเลือกข้อมูลวันที่สิ้นสุดใช้รหัสเครื่องหมายการค้ารองได้</t>
  </si>
  <si>
    <t>หน้าจอ บันทึกรหัสเครื่องหมายการค้ารอง (บันทึกรายการ)
- กรอกข้อมูล วันที่สิ้นสุดใช้รหัสเครื่องหมายการค้ารอง ภาษาไทย</t>
  </si>
  <si>
    <t>ไม่สามารถกรอกข้อมูลวันที่สิ้นสุดใช้รหัสเครื่องหมายการค้ารองได้ ระบบ Default เป็นวันที่ปัจจุบัน</t>
  </si>
  <si>
    <t>หน้าจอ บันทึกรหัสเครื่องหมายการค้ารอง (บันทึกรายการ)
- กรอกข้อมูล วันที่สิ้นสุดใช้รหัสรหัสเครื่องหมายการค้ารอง ภาษาอังกฤษ</t>
  </si>
  <si>
    <t>หน้าจอ บันทึกรหัสเครื่องหมายการค้ารอง (บันทึกรายการ)
- กรอกข้อมูล วันที่สิ้นสุดใช้รหัสเครื่องหมายการค้ารอง ตัวเลข ตาม Format</t>
  </si>
  <si>
    <t>สามารถกรอกข้อมูลวันที่สิ้นสุดใช้รหัสเครื่องหมายการค้ารองได้</t>
  </si>
  <si>
    <t>หน้าจอ บันทึกรหัสเครื่องหมายการค้ารอง (บันทึกรายการ)
- กรอกข้อมูล วันที่สิ้นสุดใช้รหัสเครื่องหมายการค้ารอง ตัวเลข ไม่ตาม Format</t>
  </si>
  <si>
    <t>หน้าจอ บันทึกรหัสเครื่องหมายการค้ารอง (บันทึกรายการ)
- กรอกข้อมูล วันที่สิ้นสุดใช้รหัสเครื่องหมายการค้ารอง อักขระพิเศษ</t>
  </si>
  <si>
    <t>หน้าจอ บันทึกรหัสเครื่องหมายการค้ารอง (บันทึกรายการ)
- กรอกข้อมูล วันที่สิ้นสุดใช้รหัสเครื่องหมายการค้ารอง space bar (ค่าว่าง)</t>
  </si>
  <si>
    <t>หน้าจอ บันทึกรหัสเครื่องหมายการค้ารอง (บันทึกรายการ)
- กรอกข้อมูล วันที่สิ้นสุดใช้รหัสเครื่องหมายการค้ารอง Max length</t>
  </si>
  <si>
    <t>หน้าจอ บันทึกรหัสเครื่องหมายการค้ารอง (บันทึกรายการ)
- กรอกข้อมูลครบถ้วน
- กดปุ่ม บันทึก</t>
  </si>
  <si>
    <t xml:space="preserve">หน้าจอ บันทึกรหัสเครื่องหมายการค้ารอง (บันทึกรายการ)
- กรอกข้อมูลครบถ้วน
- กดปุ่ม ลบ
</t>
  </si>
  <si>
    <t xml:space="preserve">หน้าจอ บันทึกรหัสเครื่องหมายการค้ารอง (บันทึกรายการ)
- กรอกข้อมูลครบถ้วน
- กดปุ่ม ค้นหา
</t>
  </si>
  <si>
    <t>ทดสอบแก้ไขข้อมูล บันทึกรหัสเครื่องหมายการค้ารอง</t>
  </si>
  <si>
    <t>หน้าจอ บันทึกรหัสเครื่องหมายการค้ารอง (บันทึกรายการ)
- กดปุ่ม ค้นหา</t>
  </si>
  <si>
    <t>หน้าจอ บันทึกรหัสเครื่องหมายการค้ารอง (บันทึกรายการ)
- กดปุ่ม ค้นหา
- เลือกข้อมูลที่ต้องการแก้ไข</t>
  </si>
  <si>
    <t>หน้าจอ บันทึกรหัสเครื่องหมายการค้ารอง (บันทึกรายการ)
- กดปุ่ม ค้นหา
- เลือกข้อมูลที่ต้องการแก้ไข
- แก้ไข้ข้อมูล</t>
  </si>
  <si>
    <t>หน้าจอ บันทึกรหัสเครื่องหมายการค้ารอง (บันทึกรายการ)
- กดปุ่ม ค้นหา
- เลือกข้อมูลที่ต้องการแก้ไข
- แก้ไข้ข้อมูล ชื่อเครื่องหมายการค้ารอง (ไทย) : กรอกข้อมูลภาษาไทย</t>
  </si>
  <si>
    <t>หน้าจอ บันทึกรหัสเครื่องหมายการค้ารอง (บันทึกรายการ)
- กดปุ่ม ค้นหา
- เลือกข้อมูลที่ต้องการแก้ไข
- แก้ไข้ข้อมูล ชื่อเครื่องหมายการค้ารอง (อังกฤษ) : กรอกข้อมูลภาษาอังกฤษ</t>
  </si>
  <si>
    <t>หน้าจอ บันทึกรหัสเครื่องหมายการค้ารอง (บันทึกรายการ)
- กดปุ่ม ค้นหา
- เลือกข้อมูลที่ต้องการแก้ไข
- แก้ไข้ข้อมูล ชื่อเครื่องหมายการค้ารอง (ไทย) Max length</t>
  </si>
  <si>
    <t>หน้าจอ บันทึกรหัสเครื่องหมายการค้ารอง (บันทึกรายการ)
- กดปุ่ม ค้นหา
- เลือกข้อมูลที่ต้องการแก้ไข
- แก้ไข้ข้อมูล ชื่อเครื่องหมายการค้ารอง (อังกฤษ) Max length</t>
  </si>
  <si>
    <t>หน้าจอ บันทึกรหัสเครื่องหมายการค้ารอง (บันทึกรายการ)
- กดปุ่ม ค้นหา
- เลือกข้อมูลที่ต้องการแก้ไข
- แก้ไข้ข้อมูล วันที่เริ่มใช้รหัสเครื่องหมายการค้ารอง</t>
  </si>
  <si>
    <t>หน้าจอ บันทึกรหัสเครื่องหมายการค้ารอง (บันทึกรายการ)
- กดปุ่ม ค้นหา
- เลือกข้อมูลที่ต้องการแก้ไข
- แก้ไข้ข้อมูล วันที่เริ่มใช้รหัสเครื่องหมายการค้ารอง ภาษาไทย</t>
  </si>
  <si>
    <t>หน้าจอ บันทึกรหัสเครื่องหมายการค้ารอง (บันทึกรายการ)
- กดปุ่ม ค้นหา
- เลือกข้อมูลที่ต้องการแก้ไข
- แก้ไข้ข้อมูล วันที่เริ่มใช้รหัสเครื่องหมายการค้ารองภาษาอังกฤษ</t>
  </si>
  <si>
    <t>หน้าจอ บันทึกรหัสเครื่องหมายการค้ารอง (บันทึกรายการ)
- กดปุ่ม ค้นหา
- เลือกข้อมูลที่ต้องการแก้ไข
- แก้ไข้ข้อมูล วันที่เริ่มใช้รหัสเครื่องหมายการค้ารอง ตัวเลข ตาม Format</t>
  </si>
  <si>
    <t>หน้าจอ บันทึกรหัสเครื่องหมายการค้ารอง (บันทึกรายการ)
- กดปุ่ม ค้นหา
- เลือกข้อมูลที่ต้องการแก้ไข
- แก้ไข้ข้อมูล วันที่เริ่มใช้รหัสเครื่องหมายการค้ารอง ตัวเลข ไม่ตาม Format</t>
  </si>
  <si>
    <t>หน้าจอ บันทึกรหัสเครื่องหมายการค้ารอง (บันทึกรายการ)
- กดปุ่ม ค้นหา
- เลือกข้อมูลที่ต้องการแก้ไข
- แก้ไข้ข้อมูล วันที่เริ่มใช้รหัสเครื่องหมายการค้ารอง อักขระพิเศษ</t>
  </si>
  <si>
    <t>หน้าจอ บันทึกรหัสเครื่องหมายการค้ารอง (บันทึกรายการ)
- กดปุ่ม ค้นหา
- เลือกข้อมูลที่ต้องการแก้ไข
- แก้ไข้ข้อมูล วันที่เริ่มใช้รหัสเครื่องหมายการค้ารอง space bar (ค่าว่าง)</t>
  </si>
  <si>
    <t>หน้าจอ บันทึกรหัสเครื่องหมายการค้ารอง (บันทึกรายการ)
- กดปุ่ม ค้นหา
- เลือกข้อมูลที่ต้องการแก้ไข
- แก้ไข้ข้อมูล วันที่เริ่มใช้รหัสเครื่องหมายการค้ารอง Max length</t>
  </si>
  <si>
    <t>หน้าจอ บันทึกรหัสเครื่องหมายการค้ารอง (บันทึกรายการ)
- กดปุ่ม ค้นหา
- เลือกข้อมูลที่ต้องการแก้ไข
- แก้ไข้ข้อมูล วันที่สิ้นสุดใช้รหัสเครื่องหมายการค้ารอง</t>
  </si>
  <si>
    <t>หน้าจอ บันทึกรหัสเครื่องหมายการค้ารอง (บันทึกรายการ)
- กดปุ่ม ค้นหา
- เลือกข้อมูลที่ต้องการแก้ไข
- แก้ไข้ข้อมูล วันที่สิ้นสุดใช้รหัสเครื่องหมายการค้ารอง ภาษาไทย</t>
  </si>
  <si>
    <t>หน้าจอ บันทึกรหัสเครื่องหมายการค้ารอง (บันทึกรายการ)
- กดปุ่ม ค้นหา
- เลือกข้อมูลที่ต้องการแก้ไข
- แก้ไข้ข้อมูล วันที่สิ้นสุดใช้รหัสเครื่องหมายการค้ารอง ภาษาอังกฤษ</t>
  </si>
  <si>
    <t>หน้าจอ บันทึกรหัสเครื่องหมายการค้ารอง (บันทึกรายการ)
- กดปุ่ม ค้นหา
- เลือกข้อมูลที่ต้องการแก้ไข
- แก้ไข้ข้อมูล วันที่สิ้นสุดใช้รหัสเครื่องหมายการค้ารอง ตัวเลข ตาม Format</t>
  </si>
  <si>
    <t>หน้าจอ บันทึกรหัสเครื่องหมายการค้ารอง (บันทึกรายการ)
- กดปุ่ม ค้นหา
- เลือกข้อมูลที่ต้องการแก้ไข
- แก้ไข้ข้อมูล วันที่สิ้นสุดใช้รหัสเครื่องหมายการค้ารอง ตัวเลข ไม่ตาม Format</t>
  </si>
  <si>
    <t>หน้าจอ บันทึกรหัสเครื่องหมายการค้ารอง (บันทึกรายการ)
- กดปุ่ม ค้นหา
- เลือกข้อมูลที่ต้องการแก้ไข
- แก้ไข้ข้อมูล วันที่สิ้นสุดใช้รหัสเครื่องหมายการค้ารอง อักขระพิเศษ</t>
  </si>
  <si>
    <t>หน้าจอ บันทึกรหัสเครื่องหมายการค้ารอง (บันทึกรายการ)
- กดปุ่ม ค้นหา
- เลือกข้อมูลที่ต้องการแก้ไข
- แก้ไข้ข้อมูล วันที่สิ้นสุดใช้รหัสเครื่องหมายการค้ารอง space bar (ค่าว่าง)</t>
  </si>
  <si>
    <t>หน้าจอ บันทึกรหัสเครื่องหมายการค้ารอง (บันทึกรายการ)
- กดปุ่ม ค้นหา
- เลือกข้อมูลที่ต้องการแก้ไข
- แก้ไข้ข้อมูล วันที่สิ้นสุดใช้รหัสเครื่องหมายการค้ารอง Max length</t>
  </si>
  <si>
    <t>หน้าจอ บันทึกรหัสเครื่องหมายการค้ารอง (บันทึกรายการ)
- กดปุ่ม ค้นหา
- เลือกข้อมูลที่ต้องการแก้ไข
- แก้ไข้ข้อมูลครบถ้วน
- กดปุ่ม บันทึก</t>
  </si>
  <si>
    <t xml:space="preserve">หน้าจอ บันทึกรหัสเครื่องหมายการค้ารอง (บันทึกรายการ)
- กดปุ่ม ค้นหา
- เลือกข้อมูลที่ต้องการแก้ไข
- แก้ไข้ข้อมูลครบถ้วน
- กดปุ่ม ลบ
</t>
  </si>
  <si>
    <t xml:space="preserve">หน้าจอ บันทึกรหัสเครื่องหมายการค้ารอง (บันทึกรายการ)
- กดปุ่ม ค้นหา
- เลือกข้อมูลที่ต้องการแก้ไข
- แก้ไข้ข้อมูลครบถ้วน
- กดปุ่ม บันทึก
- กดปุ่ม ค้นหา
</t>
  </si>
  <si>
    <t xml:space="preserve">หน้าจอ บันทึกรหัสเครื่องหมายการค้ารอง (บันทึกรายการ)
- กดปุ่ม ค้นหา
- เลือกข้อมูลที่ต้องการแก้ไข
- แก้ไข้ข้อมูลครบถ้วน
- กดปุ่ม ล้างข้อมูล
</t>
  </si>
  <si>
    <t xml:space="preserve">ทดสอบค้นหาข้อมูล บันทึกรหัสเครื่องหมายการค้ารอง </t>
  </si>
  <si>
    <t>หน้าจอ บันทึกรหัสเครื่องหมายการค้ารอง (บันทึกรายการ)
- กรอกข้อมูล ชื่อเครื่องหมายการค้ารอง (ไทย) : กรอกข้อมูลภาษาไทย
- กดปุ่ม ค้นหา</t>
  </si>
  <si>
    <t>หน้าจอ บันทึกรหัสเครื่องหมายการค้ารอง (บันทึกรายการ)
- กรอกข้อมูล ชื่อเครื่องหมายการค้ารอง (อังกฤษ) : กรอกข้อมูลภาษาอังกฤษ
- กดปุ่ม ค้นหา</t>
  </si>
  <si>
    <t>หน้าจอ บันทึกรหัสเครื่องหมายการค้ารอง (บันทึกรายการ)
- กรอกข้อมูล ชื่อเครื่องหมายการค้ารอง ที่มีในระบบ
- กดปุ่ม ค้นหา</t>
  </si>
  <si>
    <t>หน้าจอ บันทึกรหัสเครื่องหมายการค้ารอง (บันทึกรายการ)
- กรอกข้อมูล ชื่อเครื่องหมายการค้ารอง ที่ไม่มีในระบบ
- กดปุ่ม ค้นหา</t>
  </si>
  <si>
    <t>หน้าจอ บันทึกรหัสเครื่องหมายการค้ารอง (บันทึกรายการ)
- เลือกข้อมูล วันที่เริ่มใช้รหัสชื่อเครื่องหมายการค้ารอง ที่มีในระบบ
- กดปุ่ม ค้นหา</t>
  </si>
  <si>
    <t>หน้าจอ บันทึกรหัสเครื่องหมายการค้ารอง (บันทึกรายการ)
- เลือกข้อมูล วันที่เริ่มใช้รหัสชื่อเครื่องหมายการค้ารอง ที่ไม่มีในระบบ
- กดปุ่ม ค้นหา</t>
  </si>
  <si>
    <t>หน้าจอ บันทึกรหัสเครื่องหมายการค้ารอง (บันทึกรายการ)
- กรอกข้อมูล วันที่เริ่มใช้ชื่อเครื่องหมายการค้ารอง ที่มีในระบบ
- กดปุ่ม ค้นหา</t>
  </si>
  <si>
    <t>หน้าจอ บันทึกรหัสเครื่องหมายการค้ารอง (บันทึกรายการ)
- กรอกข้อมูล วันที่เริ่มใช้ชื่อเครื่องหมายการค้ารอง ที่ไม่มีในระบบ
- กดปุ่ม ค้นหา</t>
  </si>
  <si>
    <t>หน้าจอ บันทึกรหัสเครื่องหมายการค้ารอง (บันทึกรายการ)
- เลือกข้อมูล วันที่สิ้นสุดใช้รหัสชื่อเครื่องหมายการค้ารอง</t>
  </si>
  <si>
    <t>ไม่สามารถกรอกวันที่สิ้นสุดใช้รหัสชื่อเครื่องหมายการค้ารองได้ ต้องกรอกวันที่เริ่มใช้รหัสชื่อเครื่องหมายการค้ารองก่อน</t>
  </si>
  <si>
    <t>ทดสอบลบข้อมูล บันทึกรหัสเครื่องหมายการค้ารอง</t>
  </si>
  <si>
    <t>หน้าจอ บันทึกรหัสเครื่องหมายการค้ารอง (บันทึกรายการ)
- กดปุ่ม ลบ</t>
  </si>
  <si>
    <t>หน้าจอ บันทึกรหัสเครื่องหมายการค้ารอง (บันทึกรายการ)
- เลือกหรือกรอกชื่อกลุ่มสินค้า
- เลือกหรือกรอกเครื่องหมายการค้าหลัก
- กดปุ่ม ลบ</t>
  </si>
  <si>
    <t>หน้าจอ บันทึกรหัสเครื่องหมายการค้ารอง (บันทึกรายการ)
- เลือกหรือกรอกชื่อกลุ่มสินค้า
- เลือกหรือกรอกเครื่องหมายการค้าหลัก
- กดปุ่ม ตกลง
- กดปุ่ม ลบ</t>
  </si>
  <si>
    <t>หน้าจอ บันทึกรหัสเครื่องหมายการค้ารอง (บันทึกรายการ)
- เลือกหรือกรอกชื่อกลุ่มสินค้า
- กดปุ่ม ตกลง
- กรอกข้อมูล บันทึกราย บางรายการ
- กดปุ่ม ลบ</t>
  </si>
  <si>
    <t>หน้าจอ บันทึกรหัสเครื่องหมายการค้าหลัก (บันทึกรายการ)
- เลือกหรือกรอกชื่อกลุ่มสินค้า
- เลือกหรือกรอกเครื่องหมายการค้าหลัก
- กดปุ่ม ตกลง
- กรอกข้อมูล บันทึกราย ครบถ้วน
- กดปุ่ม ลบ</t>
  </si>
  <si>
    <t>หน้าจอ บันทึกรหัสเครื่องหมายการค้ารอง (บันทึกรายการ)
- กดปุ่ม ค้นหา
- เลือกข้อมูลที่ต้องการลบ
- กดปุ่ม ลบ</t>
  </si>
  <si>
    <t xml:space="preserve">หน้าจอ บันทึกรหัสเครื่องหมายการค้ารอง (บันทึกรายการ)
- เลือกหรือกรอกชื่อกลุ่มสินค้า
- กดปุ่ม ตกลง
- กดปุ่ม ค้นหา
</t>
  </si>
  <si>
    <t>หน้าจอ บันทึกรหัสเครื่องหมายการค้ารอง (บันทึกรายการ)
- เลือกข้อมูลที่ต้องการลบ</t>
  </si>
  <si>
    <t>ทดสอบล้างข้อมูล บันทึกรหัสเครื่องหมายการค้ารอง</t>
  </si>
  <si>
    <t xml:space="preserve">หน้าจอ บันทึกรหัสเครื่องหมายการค้ารอง (บันทึกรายการ)
- เลือกหรือกรอกชื่อกลุ่มสินค้า
- กดปุ่ม ตกลง
(ไทย)
- กดปุ่ม ล้างข้อมูล
</t>
  </si>
  <si>
    <t xml:space="preserve">หน้าจอ บันทึกรหัสเครื่องหมายการค้ารอง (บันทึกรายการ)
- เลือกหรือกรอกชื่อกลุ่มสินค้า
- เลือกหรือกรอกเครื่องหมายการค้าหลัก
- กดปุ่ม ตกลง
(ไทย)
- กดปุ่ม ล้างข้อมูล
</t>
  </si>
  <si>
    <t xml:space="preserve">หน้าจอ บันทึกรหัสเครื่องหมายการค้ารอง (บันทึกรายการ)
- เลือกหรือกรอกชื่อกลุ่มสินค้า
- เลือกหรือกรอกเครื่องหมายการค้าหลัก
- กดปุ่ม ตกลง
- กรอกข้อมูล ในช่องชื่อเครื่องหมายการค้า (อังกฤษ)
- กดปุ่ม ล้างข้อมูล
</t>
  </si>
  <si>
    <t>สามารถล้างข้อมูลบันทึกรายการได้</t>
  </si>
  <si>
    <t xml:space="preserve">หน้าจอ บันทึกรหัสเครื่องหมายการค้ารอง (บันทึกรายการ)
- เลือกหรือกรอกชื่อกลุ่มสินค้า
- เลือกหรือกรอกเครื่องหมายการค้าหลัก
- กดปุ่ม ตกลง
- กรอกข้อมูล ในช่องวันที่เริ่มใช้รหัสเครื่องหมายการค้ารอง
- กดปุ่ม ล้างข้อมูล
</t>
  </si>
  <si>
    <t xml:space="preserve">หน้าจอ บันทึกรหัสเครื่องหมายการค้ารอง (บันทึกรายการ)
- เลือกหรือกรอกชื่อกลุ่มสินค้า
- เลือกหรือกรอกเครื่องหมายการค้าหลัก
- กดปุ่ม ตกลง
- กรอกข้อมูล ในช่องวันที่สิ้นสุดใช้รหัสเครื่องหมายการค้า
- กดปุ่ม ล้าง
</t>
  </si>
  <si>
    <t xml:space="preserve">หน้าจอ บันทึกรหัสเครื่องหมายการค้ารอง (บันทึกรายการ)
- เลือกหรือกรอกชื่อกลุ่มสินค้า
- เลือกหรือกรอกเครื่องหมายการค้าหลัก
- กดปุ่ม ตกลง
- กรอกข้อมูล บันทึกรายการ ครบถ้วน
- กดปุ่ม ล้าง
</t>
  </si>
  <si>
    <t>หน้าจอ รหัสเครื่องหมายการค้ารอง 
- กดปุ่ม ค้นหา</t>
  </si>
  <si>
    <t>ตรวจสอบหัวตารางแสดงผล รหัสเครื่องหมายการค้ารอง</t>
  </si>
  <si>
    <t>ระบบแสดงหัวตารางแสดงผลรหัสเครื่องหมายการค้ารอง ได้ถูกต้อง</t>
  </si>
  <si>
    <t xml:space="preserve">ตรวจสอบหัวตารางแสดงผล ชื่อเครื่องหมายการค้ารอง (ไทย) </t>
  </si>
  <si>
    <t>ระบบแสดงหัวตารางแสดงผล ชื่อเครื่องหมายการค้ารอง (ไทย) ได้ถูกต้อง</t>
  </si>
  <si>
    <t>ตรวจสอบหัวตารางแสดงผล ชื่อเครื่องหมายการค้ารอง (อังกฤษ)</t>
  </si>
  <si>
    <t>ระบบแสดงหัวตารางแสดงผล ชื่อเครื่องหมายการค้ารอง (อังกฤษ) ได้ถูกต้อง</t>
  </si>
  <si>
    <t>ตรวจสอบข้อมูล รหัสเครื่องหมายการค้ารอง</t>
  </si>
  <si>
    <t>ระบบงานแจ้งราคาขายปลีกแนะนํา (PRC)</t>
  </si>
  <si>
    <t>0.0.3</t>
  </si>
  <si>
    <t>ตรวจสอบปุ่มจัดเรียง  รหัสเครื่องหมายการค้าหลัก</t>
  </si>
  <si>
    <t xml:space="preserve">ตรวจสอบปุ่มจัดเรียง ชื่อเครื่องหมายการค้าหลัก (ไทย) </t>
  </si>
  <si>
    <t>ตรวจสอบปุ่มจัดเรียง ชื่อเครื่องหมายการค้าหลัก (อังกฤษ)</t>
  </si>
  <si>
    <t xml:space="preserve">ตรวจสอบปุ่มจัดเรียง วันที่เริ่มใช้รหัสเครื่องหมายการค้า </t>
  </si>
  <si>
    <t xml:space="preserve">ตรวจสอบปุ่มจัดเรียง วันที่สิ้นสุดใช้รหัสเครื่องหมายการค้า </t>
  </si>
  <si>
    <t xml:space="preserve">ตรวจสอบข้อมูล ชื่อเครื่องหมายการค้าหลัก (ไทย) </t>
  </si>
  <si>
    <t>ตรวจสอบข้อมูล ชื่อเครื่องหมายการค้าหลัก (อังกฤษ)</t>
  </si>
  <si>
    <t xml:space="preserve">ตรวจสอบข้อมูล วันที่เริ่มใช้รหัสเครื่องหมายการค้า </t>
  </si>
  <si>
    <t xml:space="preserve">ตรวจสอบข้อมูล วันที่สิ้นสุดใช้รหัสเครื่องหมายการค้า </t>
  </si>
  <si>
    <t>ระบบแสดงข้อมูล รหัสเครื่องหมายการค้ารอง ได้ถูกต้อง</t>
  </si>
  <si>
    <t>ระบบแสดงข้อมูล ชื่อเครื่องหมายการค้าหลัก (ไทย)ได้ถูกต้อง</t>
  </si>
  <si>
    <t>ระบบแสดงข้อมูล ชื่อเครื่องหมายการค้าหลัก (อังกฤษ) ได้ถูกต้อง</t>
  </si>
  <si>
    <t>สามารถจัดเรียงข้อมูล รหัสเครื่องหมายการค้าหลัก ได้ถูกต้อง</t>
  </si>
  <si>
    <t>สามารถจัดเรียงข้อมูล ชื่อเครื่องหมายการค้าหลัก (ไทย) ได้ถูกต้อง</t>
  </si>
  <si>
    <t>สามารถจัดเรียงข้อมูล ชื่อเครื่องหมายการค้าหลัก (อังกฤษ) ได้ถูกต้อง</t>
  </si>
  <si>
    <t>สามารถจัดเรียงข้อมูล วันที่เริ่มใช้รหัสเครื่องหมายการค้า ได้ถูกต้อง</t>
  </si>
  <si>
    <t>สามารถจัดเรียงข้อมูล วันที่สิ้นสุดใช้รหัสเครื่องหมายการค้า ได้ถูกต้อง</t>
  </si>
  <si>
    <t xml:space="preserve">ตรวจสอบข้อมูล ชื่อเครื่องหมายการค้ารอง (ไทย) </t>
  </si>
  <si>
    <t>ตรวจสอบข้อมูล ชื่อเครื่องหมายการค้ารอง (อังกฤษ)</t>
  </si>
  <si>
    <t>ระบบแสดงข้อมูล ชื่อเครื่องหมายการค้ารอง (ไทย)ได้ถูกต้อง</t>
  </si>
  <si>
    <t>ระบบแสดงข้อมูล ชื่อเครื่องหมายการค้ารอง (อังกฤษ) ได้ถูกต้อง</t>
  </si>
  <si>
    <t>ตรวจสอบปุ่มจัดเรียง  รหัสเครื่องหมายการค้ารอง</t>
  </si>
  <si>
    <t>สามารถจัดเรียงข้อมูล รหัสเครื่องหมายการค้ารอง ได้ถูกต้อง</t>
  </si>
  <si>
    <t xml:space="preserve">ตรวจสอบปุ่มจัดเรียง ชื่อเครื่องหมายการค้ารอง (ไทย) </t>
  </si>
  <si>
    <t>สามารถจัดเรียงข้อมูล ชื่อเครื่องหมายการค้ารอง (ไทย) ได้ถูกต้อง</t>
  </si>
  <si>
    <t>ตรวจสอบปุ่มจัดเรียง ชื่อเครื่องหมายการค้ารอง (อังกฤษ)</t>
  </si>
  <si>
    <t>สามารถจัดเรียงข้อมูล ชื่อเครื่องหมายการค้ารอง (อังกฤษ) ได้ถูกต้อง</t>
  </si>
  <si>
    <t>ตรวจสอบปุ่มจัดเรียง  รหัสแบบ/รุ่น</t>
  </si>
  <si>
    <t>สามารถจัดเรียงข้อมูล รหัสแบบ/รุ่น ได้ถูกต้อง</t>
  </si>
  <si>
    <t>ตรวจสอบปุ่มจัดเรียง รายละเอียดรหัสแบบ/รุ่น</t>
  </si>
  <si>
    <t>สามารถจัดเรียงข้อมูล รายละเอียดรหัสแบบ/รุ่น ได้ถูกต้อง</t>
  </si>
  <si>
    <t>ตรวจสอบปุ่มจัดเรียง วันที่เริ่มใช้รหัส</t>
  </si>
  <si>
    <t>สามารถจัดเรียงข้อมูล วันที่เริ่มใช้รหัส ได้ถูกต้อง</t>
  </si>
  <si>
    <t>ตรวจสอบปุ่มจัดเรียง วันที่สิ้นสุดใช้รหัส</t>
  </si>
  <si>
    <t>สามารถจัดเรียงข้อมูล วันที่สิ้นสุดใช้รหัส ได้ถูกต้อง</t>
  </si>
  <si>
    <t>ตรวจสอบปุ่มจัดเรียง รายละเอียด</t>
  </si>
  <si>
    <t>สามารถจัดเรียงข้อมูล รายละเอียดรหัส ได้ถูกต้อง</t>
  </si>
  <si>
    <t>ตรวจสอบปุ่มจัดเรียง  รหัสขนาด</t>
  </si>
  <si>
    <t>สามารถจัดเรียงข้อมูล รหัสขนาด ได้ถูกต้อง</t>
  </si>
  <si>
    <t>http://13.250.227.94:7001/ED-WEB/#/, http://13.250.227.94:7001/ED-WEB/#/trademark</t>
  </si>
  <si>
    <t>x</t>
  </si>
  <si>
    <t>ระบบแสดงข้อมูลชื่อกลุ่มสินค้าที่มีในระบบ แต่ไม่เรียงตามรหัสกลุ่มสินค้า จากน้อยไปมาก</t>
  </si>
  <si>
    <t>แจ้งเตือนผิด</t>
  </si>
  <si>
    <t>ระบบแสดงแจ้งเตือน "บันทึกข้อมูลเรียบร้อยแล้ว"
 ปุ่ม OK</t>
  </si>
  <si>
    <t>ลบข้อมูลเรียบร้อยแล้ว
กดปุ่ม OK</t>
  </si>
  <si>
    <t>http://13.250.227.94:7001/ED-WEB/#/trademark2</t>
  </si>
  <si>
    <t>ไม่เรียง</t>
  </si>
  <si>
    <t>ระบบแสดงข้อมูลชื่อกลุ่มสินค้า และชื่อเครื่องหมายการค้าหลักที่มีในระบบได้ โดยเรียงตามรหัสกลุ่มสินค้า จากน้อยไปมาก</t>
  </si>
  <si>
    <t>ชื่อกลุ่มสินค้า ไม่เรียง</t>
  </si>
  <si>
    <t>ปิดแจ้งเตือน ลบข้อมูลสำเร็จ</t>
  </si>
  <si>
    <t>สามารถกดปุ่มบันทึกได้ แต่ไม่กรอกบันทึกรายการได้ ระบบแจ้งเตือน "กรุณาระบุชื่อกลุ่มสินค้า"
ปุ่ม OK</t>
  </si>
  <si>
    <t xml:space="preserve">ระบบแสดงแจ้งเตือน "กรุณากรอกข้อมูล วันที่เริ่มใช้รหัสเครื่องหมายการค้าให้ครบ"
 ปุ่ม OK
</t>
  </si>
  <si>
    <t>ระบบแสดงแจ้งเตือน "กรุณากรอกข้อมูล วันที่เริ่มใช้รหัสเครื่องหมายการค้าให้ครบ"
 ปุ่ม OK</t>
  </si>
  <si>
    <t>ระบบแสดงแจ้งเตือน "กรุณากรอกเครื่องหมายการค้า (ภาษาไทย) ให้ถูกต้อง"
 ปุ่ม OK</t>
  </si>
  <si>
    <t>ระบบแสดงข้อความแจ้งเตือน "ไม่มีข้อมูล ไม่สามารถล้างข้อมูลได้"</t>
  </si>
  <si>
    <t>ระบบแสดงแจ้งเตือน "ไม่มีข้อมูล ไม่สามารถล้างข้อมูลได้"
ปุ่ม OK</t>
  </si>
  <si>
    <t>ระบบแสดงแจ้งเตือน "กรุณาระบุเครื่องหมายการค้าหลัก"
 ปุ่ม OK</t>
  </si>
  <si>
    <t>ระบบแสดงแจ้งเตือน "กรุณากรอกข้อมูล ชื่อเครื่องหมายการค้ารอง (ไทย) หรือ ชื่อเครื่องหมายการค้ารอง (ภาษาอังกฤษ) และวันที่เริ่มใช้รหัสเครื่องหมายการค้ารองให้ครบ"
 ปุ่ม OK</t>
  </si>
  <si>
    <t>ระบบแสดงแจ้งเตือน "กรุณากรอกข้อมูล วันที่เริ่มใช้รหัสเครื่องหมายการค้ารองให้ครบ"
 ปุ่ม OK</t>
  </si>
  <si>
    <t>ระบบแสดงแจ้งเตือน "กรุณากรอกเครื่องหมายการค้า (ภาษาอังกฤษ) ให้ถูกต้อง"
 ปุ่ม OK</t>
  </si>
  <si>
    <t>หน้าจอ บันทึกรหัสเครื่องหมายการค้ารอง (บันทึกรายการ)
 - เลือกชื่อกลุ่มสินค้า
 - เลือกหรือกรอกเครื่องหมายการค้าหลัก
 - กดปุ่ม ตกลง
 - กรอกชื่อเครื่องหมายการค้า (ภาษาอังกฤษ) : กรอกข้อมูลเป็นภาษาไทย
 - เลือก/กรอกข้อมูล วันที่เริ่มใช้รหัสเครื่องหมายการค้า
 - กดปุ่ม บันทึก</t>
  </si>
  <si>
    <t>หน้าจอ บันทึกรหัสเครื่องหมายการค้ารอง (บันทึกรายการ)
 - เลือกชื่อกลุ่มสินค้า
 - กดปุ่ม ตกลง
 - กรอกชื่อเครื่องหมายการค้า (ภาษาอังกฤษ) : กรอกข้อมูลเป็นภาษาอังกฤษ
 - กรอกชื่อเครื่องหมายการค้า (ภาษาไทย) : กรอกข้อมูลเป็นภาษาไทย
 - กดปุ่ม บันทึก</t>
  </si>
  <si>
    <t>ระบบแสดงแจ้งเตือน "กรุณากรอกเครื่องหมายการค้า (ภาษาไทย) และเครื่องหมายการค้า (ภาษาอังกฤษ)ให้ถูกต้อง"
 ปุ่ม OK</t>
  </si>
  <si>
    <t>หน้าจอ บันทึกรหัสเครื่องหมายการค้าหลัก (บันทึกรายการ)
 - เลือกชื่อกลุ่มสินค้า
 - กดปุ่ม ตกลง
 - กรอกชื่อเครื่องหมายการค้า (ภาษาไทย) : กรอกข้อมูลเป็นภาษาอังกฤษ
 - กรอกชื่อเครื่องหมายการค้า (ภาษาอังกฤษ) : กรอกข้อมูลเป็นภาษาไทย
 - กดปุ่ม บันทึก</t>
  </si>
  <si>
    <t>หน้าจอ บันทึกรหัสเครื่องหมายการค้าหลัก (บันทึกรายการ)
 - เลือกชื่อกลุ่มสินค้า
 - กดปุ่ม ตกลง
 - กรอกชื่อเครื่องหมายการค้า (ภาษาไทย) : กรอกข้อมูลเป็นภาษาอังกฤษ
 - กรอกชื่อเครื่องหมายการค้า (ภาษาอังกฤษ) : กรอกข้อมูลเป็นภาษาไทย
- เลือก/กรอกข้อมูล วันที่เริ่มใช้ เครื่องหมายการค้า
 - กดปุ่ม บันทึก</t>
  </si>
  <si>
    <t>หน้าจอ บันทึกรหัสเครื่องหมายการค้ารอง (บันทึกรายการ)
 - เลือกชื่อกลุ่มสินค้า
 - กดปุ่ม ตกลง
 - กรอกชื่อเครื่องหมายการค้า (ภาษาอังกฤษ) : กรอกข้อมูลเป็นภาษาไทย
 - กรอกชื่อเครื่องหมายการค้า (ภาษาไทย) : กรอกข้อมูลเป็นภาษาอังกฤษ
 -  เลือก/กรอกข้อมูล วันที่เริ่มใช้รหัสเครื่องหมายการค้ารอง
 - กดปุ่ม บันทึก</t>
  </si>
  <si>
    <t>หน้าจอ บันทึกรหัสเครื่องหมายการค้ารอง (บันทึกรายการ)
 - เลือกหรือกรอกชื่อกลุ่มสินค้า
 - เลือกหรือกรอกชื่อเครื่องหมายการค้าหลัก
 - กดปุ่ม ตกลง
 - กรอกชื่อเครื่องหมายการค้า (ภาษาอังกฤษ) : กรอกข้อมูลเป็นภาษาไทย
 - กรอกชื่อเครื่องหมายการค้า (ภาษาไทย) : กรอกข้อมูลเป็นภาษาอังกฤษ
 - กดปุ่ม บันทึก</t>
  </si>
  <si>
    <t>ระบบแสดงแจ้งเตือน "กรุณาระบุชื่อกลุ่มสินค้า และเครื่องหมายการค้าหลัก"
 ปุ่ม OK</t>
  </si>
  <si>
    <t>สามารถกดปุ่มตกลงได้ แต่ไม่กรอกบันทึกรายการได้ ระบบแจ้งเตือน "กรุณาระบุชื่อกลุ่มสินค้าและเครื่องหมายการค้าหลัก"
ปุ่ม OK</t>
  </si>
  <si>
    <t>http://13.250.227.94:7001/EDINTRAWeb/jsp/prc/PRCE0002.jsp</t>
  </si>
  <si>
    <t>ED_PRC_TC_00009</t>
  </si>
  <si>
    <t>ED_PRC_TC_00010</t>
  </si>
  <si>
    <t>ตรวจสอบหน้าจอ บันทึกรายการสินค้า/บริการ (PRCE0007)</t>
  </si>
  <si>
    <t>ทดสอบเลือกรายการสินค้า(PRCE0007)</t>
  </si>
  <si>
    <t>สามารถคลิกสินค้า หมดอายุได้</t>
  </si>
  <si>
    <t>สามารถคลิกสินค้า ยังไม่หมดอายุได้</t>
  </si>
  <si>
    <t xml:space="preserve">สามารถเลือกหมวดสินค้าได้ </t>
  </si>
  <si>
    <t xml:space="preserve">สามารถเลือกสินค้าได้ </t>
  </si>
  <si>
    <t>หน้าจอ การเข้าใช้งานระบบบันทึกรายการสินค้า/บริการ (เลือกรายการ)
- คลิกเลือกรายการ สินค้ายังไม่หมดอายุ</t>
  </si>
  <si>
    <t>หน้าจอ การเข้าใช้งานระบบบันทึกรายการสินค้า/บริการ (เลือกรายการ)
- คลิกเลือกรายการ สินค้าหมดอายุ</t>
  </si>
  <si>
    <t>หน้าจอ การเข้าใช้งานระบบบันทึกรายการสินค้า/บริการ (เลือกรายการ)
- เลือกหมวดสินค้า</t>
  </si>
  <si>
    <t>หน้าจอ การเข้าใช้งานระบบบันทึกรายการสินค้า/บริการ (เลือกรายการ)
- เลือกสินค้า</t>
  </si>
  <si>
    <t>หน้าจอ การเข้าใช้งานระบบบันทึกรายการสินค้า/บริการ (เลือกรายการ)
- กดปุ่ม ตกลง</t>
  </si>
  <si>
    <t>หน้าจอ การเข้าใช้งานระบบบันทึกรายการสินค้า/บริการ (เลือกรายการ)
- เลือกสินค้าครบถ้วน
- กดปุ่ม ล้างข้อมูล</t>
  </si>
  <si>
    <t>ระบบแสดงหน้าจอ บันทึกรหัสเครื่องหมายการค้ารอง ประกอบด้วย :
1. เครื่องหมายการค้ารอง
   - ชื่อกลุ่มสินค้า
   - เครื่องหมายการค้าหลัก
   - ปุ่มตกลง
   - ปุ่มล้าง
2. บันทึกรายการ
   - รหัสเครื่องหมายการค้ารอง
   - ชื่อเครื่องหมายการค้า (ไทย)
   - ชื่อเครื่องหมายการค้า (อังกฤษ)
   - วันที่เริ่มใช้รหัสเครื่องหมายการค้า
   - วันที่สิ้นสุดใช้รหัสเครื่องหมายการค้า
   - ปุ่มบันทึก
   - ปุ่มลบ
   - ปุ่มค้นหา
   - ปุ่มล้างข้อมูล
3. ตารางแสดงผลข้อมูล
   - รหัสเครื่องหมายการค้าหลัก 
   - ชื่อเครื่องหมายการค้าหลัก (ไทย) 
   - ชื่อเครื่องหมายการค้า (อังกฤษ)
   - วันที่เริ่มใช้รหัสเครื่องหมายการค้า
   - วันที่สิ้นสุดใช้รหัสเครื่องหมายการค้า
   - dropdown list เลือกจำนวนหน้า
   - รายการแสดงจำนวนหน้าที่เลือก
   - ปุ่มก่อน...ถัดไป</t>
  </si>
  <si>
    <t>สามารถเลือกรหัสสินค้าได้</t>
  </si>
  <si>
    <t>หน้าจอ การเข้าใช้งานระบบบันทึกรายการสินค้า/บริการ (บันทึกรายการ)
- เลือกหรือกรอก เครื่องหมายการค้าหลัก</t>
  </si>
  <si>
    <t>หน้าจอ การเข้าใช้งานระบบบันทึกรายการสินค้า/บริการ (บันทึกรายการ)
- เลือกหรือกรอก เครื่องหมายการค้ารอง</t>
  </si>
  <si>
    <t>หน้าจอ การเข้าใช้งานระบบบันทึกรายการสินค้า/บริการ (บันทึกรายการ)
- เลือกหรือกรอก แบบ/รุ่นสินค้า</t>
  </si>
  <si>
    <t>สามารถเลือกหรือกรอก แบบ/รุ่นสินค้าได้</t>
  </si>
  <si>
    <t>สามารถเลือกหรือกรอก เครื่องหมายการค้ารองได้</t>
  </si>
  <si>
    <t>สามารถเลือกหรือกรอก เครื่องหมายการค้าหลักได้</t>
  </si>
  <si>
    <t>หน้าจอ การเข้าใช้งานระบบบันทึกรายการสินค้า/บริการ (บันทึกรายการ)
- เลือกหรือกรอก ขนาดสินค้า</t>
  </si>
  <si>
    <t>สามารถเลือกหรือกรอก ขนาดสินค้าได้</t>
  </si>
  <si>
    <t>หน้าจอ การเข้าใช้งานระบบบันทึกรายการสินค้า/บริการ (บันทึกรายการ)
- เลือกหน่วยสินค้า</t>
  </si>
  <si>
    <t>สามารถเลือกหน่วยสินค้าได้</t>
  </si>
  <si>
    <t>หน้าจอ การเข้าใช้งานระบบบันทึกรายการสินค้า/บริการ (บันทึกรายการ)
- กรอกรายละเอียดสินค้า</t>
  </si>
  <si>
    <t>สามารถกรอกรายละเอียดสินค้าได้</t>
  </si>
  <si>
    <t>หน้าจอ การเข้าใช้งานระบบบันทึกรายการสินค้า/บริการ (บันทึกรายการ)
- เลือกกลุ่มประเภทสินค้า</t>
  </si>
  <si>
    <t>หน้าจอ การเข้าใช้งานระบบบันทึกรายการสินค้า/บริการ (บันทึกรายการ)
- เลือกประเภทสินค้า</t>
  </si>
  <si>
    <t>สามารถเลือกประเภทสินค้าได้</t>
  </si>
  <si>
    <t>สามารถเลือกกลุ่มประเภทสินค้าได้</t>
  </si>
  <si>
    <t>หน้าจอ การเข้าใช้งานระบบบันทึกรายการสินค้า/บริการ (บันทึกรายการ)
- เลือกที่มาสินค้า</t>
  </si>
  <si>
    <t>สามารถเลือกที่มาสินค้าได้</t>
  </si>
  <si>
    <t>หน้าจอ การเข้าใช้งานระบบบันทึกรายการสินค้า/บริการ (บันทึกรายการ)
- กรอก/เลือก ข้อมูล วัน เดือน ปี ที่เริ่มใช้สินค้าและบริการ</t>
  </si>
  <si>
    <t>สามารถกรอกหรือเลือกข้อมูล วันที่เริ่มใช้สินค้าและบริการได้</t>
  </si>
  <si>
    <t>หน้าจอ การเข้าใช้งานระบบบันทึกรายการสินค้า/บริการ (บันทึกรายการ)
- กรอก/เลือก ข้อมูล วัน เดือน ปี ที่สิ้นสุดใช้สินค้าและบริการ</t>
  </si>
  <si>
    <t>สามารถกรอกหรือเลือกข้อมูล วันที่สิ้นสุดใช้สินค้าและบริการได้</t>
  </si>
  <si>
    <t>หน้าจอ การเข้าใช้งานระบบบันทึกรายการสินค้า/บริการ (บันทึกรายการ)
- กรอก และ เลือกข้อมูลครบถ้วน
- กดปุ่ม บันทึก</t>
  </si>
  <si>
    <t>แสดง popup ข้อความ 'ท่านต้องการบันทึกข้อมูลสินค้านี้ใช่หรือไม่ หากบันทึกข้อมูลแล้วระบบจะไม่สามารถแก้ไขข้อมูลสินค้านี้ได้'</t>
  </si>
  <si>
    <t>หน้าจอ การเข้าใช้งานระบบบันทึกรายการสินค้า/บริการ (บันทึกรายการ)
- กดปุ่ม OK</t>
  </si>
  <si>
    <t>สามารถบันทึก ข้อมูลสินค้าและบริการได้</t>
  </si>
  <si>
    <t>ทดสอบบันทึกรายการสินค้าและบริการ (PRCE0007)</t>
  </si>
  <si>
    <t>ทดสอบค้นหารายการสินค้าและบริการ (PRCE0007)</t>
  </si>
  <si>
    <t>หน้าจอ การเข้าใช้งานระบบบันทึกรายการสินค้า/บริการ (บันทึกรายการ) 
- กรอก หรือ เลือกข้อมูลที่ต้องการค้นหา
- กดปุ่ม ค้นหา</t>
  </si>
  <si>
    <t>ทดสอบแก้ไข รายการสินค้าและบริการ (PRCE0007)</t>
  </si>
  <si>
    <t>หน้าจอ การเข้าใช้งานระบบบันทึกรายการสินค้า/บริการ (บันทึกรายการ) 
- กรอก หรือ เลือกข้อมูลที่ต้องการแก้ไข
- กดปุ่ม ตกลง
- กดปุ่ม ค้นหา
- แสดงข้อมูลที่ค้นหา
- เลือกข้อมูลที่ต้องการแก้ไขจากรายการที่แสดง
- กดปุ่ม บันทึก</t>
  </si>
  <si>
    <t>ทดสอบลบ รายการสินค้าและบริการ (PRCE0007)</t>
  </si>
  <si>
    <t>หน้าจอ การเข้าใช้งานระบบบันทึกรายการสินค้า/บริการ (บันทึกรายการ) 
- กรอก หรือ เลือกข้อมูลที่ต้องการลบ
- กดปุ่ม ตกลง
- กดปุ่ม ค้นหา 
- แสดงข้อมูลที่ค้นหา
- เลือกข้อมูลที่ต้องการลบจากรายการที่แสดง</t>
  </si>
  <si>
    <t>หน้าจอ การเข้าใช้งานระบบบันทึกรายการสินค้า/บริการ (บันทึกรายการ)  
- กดปุ่ม OK</t>
  </si>
  <si>
    <t>สามารถบันทึกการแก้ไข ข้อมูลสินค้าและบริการได้</t>
  </si>
  <si>
    <t>หน้าจอ การเข้าใช้งานระบบบันทึกรายการสินค้า/บริการ (บันทึกรายการ) 
- กดปุ่ม ลบ</t>
  </si>
  <si>
    <t>หน้าจอ การเข้าใช้งานระบบบันทึกรายการสินค้า/บริการ (บันทึกรายการ) 
- กดปุ่ม OK</t>
  </si>
  <si>
    <t>หน้าจอ การเข้าใช้งานระบบบันทึกรายการสินค้า/บริการ (บันทึกรายการ) 
- กดปุ่ม Cancel</t>
  </si>
  <si>
    <t>สามารถลบ ข้อมูลสินค้าและบริการได้</t>
  </si>
  <si>
    <t>สามารถยกเลิกการลบ ข้อมูลสินค้าและบริการได้</t>
  </si>
  <si>
    <t>ทดสอบล้างข้อมูลสินค้าและบริการ (PRCE0007)</t>
  </si>
  <si>
    <t>หน้าจอ การเข้าใช้งานระบบบันทึกรายการสินค้า/บริการ (บันทึกรายการ) 
- กรอก หรือ เลือกข้อมูลครบถ้วน
- กดปุ่ม ล้างข้อมูล</t>
  </si>
  <si>
    <t>ทดสอบตารางแสดงข้อมูลสินค้าและบริการ (PRCE0007)</t>
  </si>
  <si>
    <t>หน้าจอ การเข้าใช้งานระบบบันทึกรายการสินค้า/บริการ (บันทึกรายการ) 
- แสดงรายการข้อมูลที่ค้นหา</t>
  </si>
  <si>
    <t>หน้าจอ การเข้าใช้งานระบบบันทึกรายการสินค้า/บริการ (บันทึกรายการ) 
- Items per page:
- เลือกจำนวนหน้าที่ต้องการแสดงผล</t>
  </si>
  <si>
    <t>หน้าจอ การเข้าใช้งานระบบบันทึกรายการสินค้า/บริการ (บันทึกรายการ) 
- 0 of 0:
- รายการแสดงจำนวนหน้าที่เลือก</t>
  </si>
  <si>
    <t>หน้าจอ การเข้าใช้งานระบบบันทึกรายการสินค้า/บริการ (บันทึกรายการ)
- ปุ่มก่อน...ถัดไป</t>
  </si>
  <si>
    <t>บันทึกรายการสินค้า/บริการ (PRCE0007 - หน้าเลือกรายการ)</t>
  </si>
  <si>
    <t>ED_PRC_TC_00011</t>
  </si>
  <si>
    <t>ED_PRC_TC_00012</t>
  </si>
  <si>
    <t>บันทึกรายการสินค้า/บริการ (PRCE0007</t>
  </si>
  <si>
    <t>ทดสอบการบันทึกรายการสินค้า/บริการ (หน้าเลือกรายการ) ในกรณี Happy Flow</t>
  </si>
  <si>
    <t>ทดสอบการบันทึกรายการสินค้า/บริการ (หน้าเลือกรายการ) ในกรณี หน้าเลือกรายการ Validate ข้อมูล</t>
  </si>
  <si>
    <t>ทดสอบการบันทึกรายการสินค้า/บริการในกรณี (หน้าบันทึกรายการ) Happy Flow</t>
  </si>
  <si>
    <t>ทดสอบการบันทึกรายการสินค้า/บริการในกรณี (หน้าบันทึกรายการ) Validate ข้อมูล</t>
  </si>
  <si>
    <t>1. สินค้า
- รหัสสินค้า
2.บันทึกรายการ
- เครื่องหมายการค้าหลัก
- เครื่องหมายการค้ารอง
- แบบ/รุ่นสินค้า
- ขนาดสินค้า
- หน่วยสินค้า
- รายละเอียดสินค้า
- กลุ่มประเภทสินค้า
- ประเภทสินค้า
- ที่มาสินค้า  
- วันที่เริ่มต้น
- วันที่สิ้นสุดการใช้รหัส
- ปุ่มบันทึก
- ปุ่มลบ
- ปุ่มค้นหา
- ปุ่มล้างข้อมูล   
3. ตารางแสดงผลข้อมูล
- ลำดับที่ 
- ประเภทสินค้า
- เครื่องหมายการค้าหลัก
- เครื่องหมายการค้ารอง
- แบบ/รุ่นสินค้า
- ขนาดสินค้า
- หน่วยสินค้า
- รายละเอียดสินค้า
- วันที่ยกเลิก
- dropdown list เลือกจำนวนหน้า
- รายการแสดงจำนวนหน้าที่เลือก
- ปุ่มก่อน...ถัดไป</t>
  </si>
  <si>
    <t xml:space="preserve">ระบบแสดงหน้าจอ บันทึกรายการสินค้าและบริการ ประกอบด้วย :
1.เลือกรายการ
- สินค้ายังไม่หมดอายุ
- สินค้าหมดอายุ
- หมวดสินค้า
- สินค้า
- ปุ่ม ตกลง
- ปุ่ม ล้างข้อมูล
- จบการทำงาน
</t>
  </si>
  <si>
    <t xml:space="preserve">หน้าจอ การเข้าใช้งานระบบบันทึกรายการสินค้า/บริการ (บันทึกรายการ)
- เลือกข้อมูลครบถ้วน
- กดปุ่ม ตกลง </t>
  </si>
  <si>
    <t>หน้าจอ กรมสรรพสามิตร 
- กดปุ่ม/Tab บันทึกรายการสินค้าและบริการ</t>
  </si>
  <si>
    <t>ทดสอบกรอกข้อมูลเงื่อนไขบันทึกรายการ (PRCE0007)</t>
  </si>
  <si>
    <t>หน้าจอ การเข้าใช้งานระบบบันทึกรายการสินค้า/บริการ (เลือกรายการ)
- กดปุ่ม ล้างข้อมูล</t>
  </si>
  <si>
    <t xml:space="preserve">ทดสอบเลือกรหัสสินค้า (PRCE0007) </t>
  </si>
  <si>
    <t>ไปหน้าบันทึกรายการ เพื่อกรอกรายละเอียดเงื่อนไขสินค้าที่เลือกได้</t>
  </si>
  <si>
    <t>ทดสอบเลือก รายการสินค้า (หน้าเลือกรายการ)</t>
  </si>
  <si>
    <t>หากสินค้ายังไม่หมดอายุ มีบันทึกในระบบ ให้สามารถคลิกเลือกรายการได้</t>
  </si>
  <si>
    <t>หากสินค้ายังไม่หมดอายุ ไม่มีบันทึกในระบบ ระบบจะแสดงแจ้งเตือน "ไม่พบข้อมูลตามเงื่อนไขที่ระบุ"
ปุ่ม OK</t>
  </si>
  <si>
    <t>ระบบจะแสดงแจ้งเตือน "ไม่พบข้อมูลตามเงื่อนไขที่ระบุ"
- กดปุ่ม OK</t>
  </si>
  <si>
    <t>ปิดการแจ้งเตือน</t>
  </si>
  <si>
    <t>หากสินค้าหมดอายุ มีบันทึกในระบบ ให้สามารถคลิกเลือกรายการได้</t>
  </si>
  <si>
    <t>หากสินค้าหมดอายุ ไม่มีบันทึกในระบบ ระบบจะแสดงแจ้งเตือน "ไม่พบข้อมูลตามเงื่อนไขที่ระบุ"
ปุ่ม OK</t>
  </si>
  <si>
    <t>หน้าจอ การเข้าใช้งานระบบบันทึกรายการสินค้า/บริการ (เลือกรายการ)
- กด Dropdownlist
- เลือกหมวดสินค้า</t>
  </si>
  <si>
    <t>สามารถเลือกหมวดสินค้าได้</t>
  </si>
  <si>
    <t xml:space="preserve">ระบบแสดงข้อมูลชื่อหมวดสินค้าที่มีในระบบได้ </t>
  </si>
  <si>
    <t xml:space="preserve">หน้าจอ การเข้าใช้งานระบบบันทึกรายการสินค้า/บริการ (เลือกรายการ)
- กด Dropdownlist หมวดสินค้า
</t>
  </si>
  <si>
    <t xml:space="preserve">หน้าจอ การเข้าใช้งานระบบบันทึกรายการสินค้า/บริการ (เลือกรายการ)
- กด Dropdownlist สินค้า
</t>
  </si>
  <si>
    <t xml:space="preserve">ระบบแสดงข้อมูลชื่อสินค้าที่มีในระบบได้ </t>
  </si>
  <si>
    <t>หน้าจอ การเข้าใช้งานระบบบันทึกรายการสินค้า/บริการ (เลือกรายการ)
- กด Dropdownlist
- เลือกสินค้า</t>
  </si>
  <si>
    <t>สามารถเลือกสินค้าได้</t>
  </si>
  <si>
    <t>ทดสอบเลือก รายการสินค้าบางส่วน (หน้าเลือกรายการ)</t>
  </si>
  <si>
    <t>ระบบแสดงแจ้งเตือน "กรุณาระบุพิกัดภาษี"</t>
  </si>
  <si>
    <t>ระบบแสดงแจ้งเตือน "กรุณาระบุพิกัดภาษี"
ปุ่ม OK</t>
  </si>
  <si>
    <t>ระบบแสดงแจ้งเตือน "กรุณาระบุพิกัดภาษี"
- กดปุ่ม OK</t>
  </si>
  <si>
    <t>หน้าจอ การเข้าใช้งานระบบบันทึกรายการสินค้า/บริการ (เลือกรายการ)
- เลือกสินค้าหมดอายุ
- กดปุ่ม ตกลง</t>
  </si>
  <si>
    <t>หน้าจอ การเข้าใช้งานระบบบันทึกรายการสินค้า/บริการ (เลือกรายการ)
- เลือกสินค้าหมดอายุ
- เลือกหมวดสินค้า
- กดปุ่ม ตกลง</t>
  </si>
  <si>
    <t>ไม่สามารถเลือกสินค้าได้ ต้องเลือกหมวดสินค้าก่อน</t>
  </si>
  <si>
    <t xml:space="preserve">หน้าจอ การเข้าใช้งานระบบบันทึกรายการสินค้า/บริการ (เลือกรายการ)
- เลือกสินค้าหมดอายุ
- เลือกสินค้า
</t>
  </si>
  <si>
    <t>ทดสอบเลือก รายการสินค้าครบถ้วน (หน้าเลือกรายการ)</t>
  </si>
  <si>
    <t>หน้าจอ การเข้าใช้งานระบบบันทึกรายการสินค้า/บริการ (เลือกรายการ)
- เลือกสินค้าไม่หมดอายุ/สินค้าหมดอายุ</t>
  </si>
  <si>
    <t>สามารถเลือกสินค้าไม่หมดอายุ หรือสินค้าหมดอายุได้</t>
  </si>
  <si>
    <t>หน้าจอ การเข้าใช้งานระบบบันทึกรายการสินค้า/บริการ (เลือกรายการ)
- กรอกข้อมูลครบถ้วน
- กดปุ่ม ตกลง</t>
  </si>
  <si>
    <t>หน้าจอ การเข้าใช้งานระบบบันทึกรายการสินค้า/บริการ (เลือกรายการ)
- คลิกเลือกรายการ สินค้ายังไม่หมดอายุ (Default)</t>
  </si>
  <si>
    <t>หน้าจอ การเข้าใช้งานระบบบันทึกรายการสินค้า/บริการ (เลือกรายการ)
- เลือกสินค้ายังไม่หมดอายุ (Default)
- กดปุ่ม ตกลง</t>
  </si>
  <si>
    <t>หน้าจอ การเข้าใช้งานระบบบันทึกรายการสินค้า/บริการ (เลือกรายการ)
- เลือกสินค้ายังไม่หมดอายุ (Default)
- เลือกหมวดสินค้า
- กดปุ่ม ตกลง</t>
  </si>
  <si>
    <t xml:space="preserve">หน้าจอ การเข้าใช้งานระบบบันทึกรายการสินค้า/บริการ (เลือกรายการ)
- เลือกสินค้ายังไม่หมดอายุ (Default)
- เลือกสินค้า
</t>
  </si>
  <si>
    <t>หน้าจอ การเข้าใช้งานระบบบันทึกรายการสินค้า/บริการ (เลือกรายการ)
- เลือกสินค้าไม่หมดอายุ/สินค้าหมดอายุ
- กดล้างข้อมูล</t>
  </si>
  <si>
    <t>ระบบแจ้งเตือน "ไม่มีข้อมูล ไม่สามารถล้างข้อมูลได้"</t>
  </si>
  <si>
    <t>ทดสอบล้างข้อมูล (หน้าเลือกรายการ)</t>
  </si>
  <si>
    <t>หน้าจอ การเข้าใช้งานระบบบันทึกรายการสินค้า/บริการ (เลือกรายการ)
- เลือกสินค้าไม่หมดอายุ/สินค้าหมดอายุ
- เลือกหมวดสินค้า
- กดล้างข้อมูล</t>
  </si>
  <si>
    <t>สามารถล้างข้อมูลได้</t>
  </si>
  <si>
    <t>หน้าจอ การเข้าใช้งานระบบบันทึกรายการสินค้า/บริการ (เลือกรายการ)
- เลือกสินค้าไม่หมดอายุ/สินค้าหมดอายุ
- เลือกหมวดสินค้า
- เลือกสินค้า
- กดล้างข้อมูล</t>
  </si>
  <si>
    <t xml:space="preserve">Screen capture </t>
  </si>
  <si>
    <t>ไม่สามารถบันทึกข้อมูลได้</t>
  </si>
  <si>
    <t>แสดง popup สามารถข้อความ 'บันทึกข้อมูลไม่สำเร็จ โปรดลองใหม่อีกครั้ง'</t>
  </si>
  <si>
    <t xml:space="preserve">หน้าจอ การเข้าใช้งานระบบบันทึกรหัสเครื่องหมายการค้าหลัก (PRCE0002)  
- กรอก หรือ เลือกข้อมูลที่ต้องการแก้ไข
- กดปุ่ม ค้นหา
- เลือกข้อมูลที่ต้องการแก้ไขจากรายการที่แสดง
</t>
  </si>
  <si>
    <t xml:space="preserve">สามารถแก้ไข แล้วบันทึกรหัสเครื่องหมายการค้าหลักได้ </t>
  </si>
  <si>
    <t>ระบบแสดง popup ข้อความ "บันทึกเรียบร้อยแล้ว"
- กดปุ่ม OK</t>
  </si>
  <si>
    <t>สามารถบันทึก การแก้ไขรหัสเครื่องหมายการค้าหลักได้ ระบบแสดง popup ข้อความ "บันทึกเรียบร้อยแล้ว"
ปุ่ม OK</t>
  </si>
  <si>
    <t>ปิดการแจ้งเตือน แล้วแสดงข้อมูลที่ทำการแก้ไขเรียบร้อยแล้วในตารางแสดงผล</t>
  </si>
  <si>
    <t>ไม่สามารถลบ รหัสเครื่องหมายการค้าหลักได้ ระบบแสดงข้อความ "ลบข้อมูลไม่สำเร็จ โปรดลองใหม่อีกครั้ง"</t>
  </si>
  <si>
    <t>ไม่มีปุ่มกด Cancel</t>
  </si>
  <si>
    <t xml:space="preserve">หน้าจอ การเข้าใช้งานระบบบันทึกรายการสินค้า/บริการ (สินค้า)
- เลือกรหัสสินค้า </t>
  </si>
  <si>
    <t>ทดสอบเลือกรหัสสินค้า(PRCE0007)</t>
  </si>
  <si>
    <t xml:space="preserve">หน้าจอ การเข้าใช้งานระบบบันทึกรายการสินค้า/บริการ (เลือกรายการ)
- เลือกข้อมูลครบถ้วน
- กดปุ่ม ตกลง </t>
  </si>
  <si>
    <t xml:space="preserve">หน้าจอ การเข้าใช้งานระบบบันทึกรายการสินค้า/บริการ (สินค้า)
- เลือกเปลี่ยนรหัสสินค้า </t>
  </si>
  <si>
    <t xml:space="preserve">แสดงรหัสสินค้าที่เลือกจากหน้าเลือกรายการ </t>
  </si>
  <si>
    <t>สามารถเลือกเปลี่ยนรหัสสินค้าใหม่ได้ ระบบแสดงข้อความ Popup แจ้งเตือน "คุณต้องการเปลี่ยนแปลงสินค้าใช่หรือไม่"
ปุ่ม OK, Cancel</t>
  </si>
  <si>
    <t>ระบบแสดงข้อความ Popup แจ้งเตือน "คุณต้องการเปลี่ยนแปลงสินค้าใช่หรือไม่"
กดปุ่ม OK</t>
  </si>
  <si>
    <t>ปิดการแจ้งเตือน ระบบเปลี่ยนแปลงสินค้าที่เลือก</t>
  </si>
  <si>
    <t>ระบบแสดงข้อความ Popup แจ้งเตือน "คุณต้องการเปลี่ยนแปลงสินค้าใช่หรือไม่"
กดปุ่ม Cancel</t>
  </si>
  <si>
    <t>ทดสอบไม่เลือกรหัสสินค้า(PRCE0007)</t>
  </si>
  <si>
    <t xml:space="preserve">หน้าจอ การเข้าใช้งานระบบบันทึกรายการสินค้า/บริการ (สินค้า)
- ไม่เลือกรหัสสินค้า </t>
  </si>
  <si>
    <t>หน้าจอ การเข้าใช้งานระบบบันทึกรายการสินค้า/บริการ (บันทึกรายการ)</t>
  </si>
  <si>
    <t>ทดสอบไม่เลือก / กรอกเงื่อนไขบันทึกรายการ (PRCE0007)</t>
  </si>
  <si>
    <t>หน้าจอ กรมสรรพสามิตร
- กดปุ่ม/Tab กำหนดมูลค่า 
- กดปุ่ม/Tab บันทึกข้อมูลหลัก 
- กดปุ่ม/Tab บันทึกรหัสเครื่องหมายการค้าหลัก</t>
  </si>
  <si>
    <t>ระบบแสดงหน้าจอ บันทึกรหัสเครื่องหมายการค้าหลัก ประกอบด้วย :
1. Tab ข้อมูล
   - ระบบงานวิชาการกำหนดมูลค่า  v0.0.30-27AUG18
   - บันทึกรหัสเครื่องหมายการค้าหลัก (PRCE0002)
   - หน้าหลัก
   - กำหนดมูลค่า 
   - บันทึกข้อมูลหลัก  
   - บันทึกรหัสเครื่องหมายการค้าหลัก
   - ผู้ใช้งาน : 
   - หน่วยงาน :
   - ออกจากระบบ
2. เครื่องหมายการค้าหลัก
   - ชื่อกลุ่มสินค้า
   - ปุ่มตกลง
3. บันทึกรายการ
   - กลุ่มสินค้า :
   - รหัสเครื่องหมายการค้า
   - ชื่อเครื่องหมายการค้า (ไทย)
   - ชื่อเครื่องหมายการค้า (อังกฤษ)
   - วันที่เริ่มใช้รหัสเครื่องหมายการค้า
   - วันที่สิ้นสุดใช้รหัสเครื่องหมายการค้า
   - ปุ่มค้นหา
   - ปุ่มบันทึก
   - ปุ่มลบ
   - ปุ่มล้างข้อมูล
4. ตารางแสดงผลข้อมูล
   - แสดงรายการ
   - รหัสเครื่องหมายการค้าหลัก 
   - ชื่อเครื่องหมายการค้าหลัก (ไทย) 
   - ชื่อเครื่องหมายการค้า (อังกฤษ)
   - วันที่เริ่มใช้รหัสเครื่องหมายการค้า
   - วันที่สิ้นสุดใช้รหัสเครื่องหมายการค้า
   - dropdown list เลือกจำนวนหน้า
   - รายการแสดงจำนวนหน้าที่เลือก
   - ปุ่มก่อน...ถัดไป
   - ปุ่มจบการทำงาน</t>
  </si>
  <si>
    <t xml:space="preserve">หน้าจอ การเข้าใช้งานระบบบันทึกรหัสเครื่องหมายการค้าหลัก (เครื่องหมายการค้าหลัก)
- เลือกชื่อกลุ่มสินค้า
</t>
  </si>
  <si>
    <t>หน้าจอ การเข้าใช้งานระบบบันทึกรหัสเครื่องหมายการค้าหลัก (เครื่องหมายการค้าหลัก)
- กดปุ่ม ตกลง</t>
  </si>
  <si>
    <t>หน้าจอ การเข้าใช้งานระบบบันทึกรหัสเครื่องหมายการค้าหลัก (บันทึกรายการ) 
Field บันทึกรายการ
- กรอกชื่อเครื่องหมายการค้า (ไทย)</t>
  </si>
  <si>
    <t>หน้าจอ การเข้าใช้งานระบบบันทึกรหัสเครื่องหมายการค้าหลัก (บันทึกรายการ)  
Field บันทึกรายการ
- กรอกชื่อเครื่องหมายการค้า (อังกฤษ)</t>
  </si>
  <si>
    <t>หน้าจอ การเข้าใช้งานระบบบันทึกรหัสเครื่องหมายการค้าหลัก (บันทึกรายการ) 
Field บันทึกรายการ
- กรอก/เลือก ข้อมูล วัน เดือน ปี ที่เริ่มใช้รหัสเครื่องหมายการค้า</t>
  </si>
  <si>
    <t>หน้าจอ การเข้าใช้งานระบบบันทึกรหัสเครื่องหมายการค้าหลัก (บันทึกรายการ) 
Field บันทึกรายการ
- กรอก/เลือก ข้อมูล วัน เดือน ปี ที่สิ้นสุดใช้รหัสเครื่องหมายการค้า</t>
  </si>
  <si>
    <t xml:space="preserve">หน้าจอ การเข้าใช้งานระบบบันทึกรหัสเครื่องหมายการค้าหลัก (PRCE0002)  
กรณี ค้นหาชื่อเครื่องหมายการค้าหลักทั้งหมด
- กรอกหรือเลือกข้อมูลที่ต้องการค้นหา
- กดปุ่ม ค้นหา
</t>
  </si>
  <si>
    <t>สามารถค้นหา รหัสเครื่องหมายการค้าหลักตามเงื่อนไขได้</t>
  </si>
  <si>
    <t xml:space="preserve">หน้าจอ บันทึกรหัสเครื่องหมายการค้าหลัก  (บันทึกรายการ)
- กดปุ่ม ตกลง
</t>
  </si>
  <si>
    <t>ระบบแสดงข้อมููลทั้งหมดที่มีในระบบ รูปแบบ Data Table ตามวันที่ Default</t>
  </si>
  <si>
    <t>หน้าจอ บันทึกรหัสเครื่องหมายการค้าหลัก (บันทึกรายการ)
 - เลือกชื่อกลุ่มสินค้า
 - กดปุ่ม ตกลง</t>
  </si>
  <si>
    <t>ระบบแสดงแจ้งเตือน "กรุณากรอกข้อมูล ชื่อเครื่องหมายการค้า (ไทย) หรือ ชื่อเครื่องหมายการค้า (อังกฤษ) และวันที่เริ่มใช้รหัสเครื่องหมายการค้าให้ครบ"
 ปุ่ม OK</t>
  </si>
  <si>
    <t>แจ้งเตือนผิด และไม่สามารถบันทึกข้อมูลได้</t>
  </si>
  <si>
    <t>ระบบแสดงรายละเอียดทั้งหมดของข้อมูลที่เลือก สามารถเลือกข้อมูลที่ต้องการแก้ไขได้</t>
  </si>
  <si>
    <t>สามารถแก้ไขข้อมูลวันที่เริ่มใช้รหัสเครื่องหมายการค้าหลักได้</t>
  </si>
  <si>
    <t>ไม่สามารถกรอกข้อมูลวันที่เริ่มใช้รหัสเครื่องหมายการค้าหลักได้ เป็นภาษาไทยได้</t>
  </si>
  <si>
    <t>ไม่สามารถกรอกข้อมูลวันที่เริ่มใช้รหัสเครื่องหมายการค้าหลักได้ เป็นภาษาอังกฤษได้</t>
  </si>
  <si>
    <t>ไม่สามารถกรอกข้อมูลวันที่เริ่มใช้รหัสเครื่องหมายการค้าหลักได้ ระบบ Default เป็นวันที่ให้ตาม Format</t>
  </si>
  <si>
    <t xml:space="preserve">ไม่สามารถกรอกข้อมูลวันที่เริ่มใช้รหัสเครื่องหมายการค้าหลักได้ </t>
  </si>
  <si>
    <t>สามารถแก้ไขข้อมูลวันที่สิ้นสุดใช้รหัสเครื่องหมายการค้าหลักได้</t>
  </si>
  <si>
    <t>ไม่สามารถกรอกข้อมูลวันที่สิ้นสุดใช้รหัสเครื่องหมายการค้าหลักได้</t>
  </si>
  <si>
    <t>ไม่สามารถกรอกข้อมูลวันที่สิ้นสุดใช้รหัสเครื่องหมายการค้าหลักได้ ระบบ Default วันที่ตาม Format</t>
  </si>
  <si>
    <t xml:space="preserve">ไม่สามารถกรอกข้อมูลวันที่สิ้นสุดใช้รหัสเครื่องหมายการค้าหลักได้ </t>
  </si>
  <si>
    <t>ไม่สามารถกรอกข้อมูลวันที่สิ้นสุดใช้รหัสเครื่องหมายการค้าหลักได้ ระบบ Default เป็นวันที่ตาม Format</t>
  </si>
  <si>
    <t>สามารถแสดงข้อมูลที่ค้นหา และเลือกข้อมูลมาแก้ไขได้ หลังแก้ไขสามารถบันทึกได้ และสามารถค้นหาข้อมูลที่เพิ่งแก้ไขได้</t>
  </si>
  <si>
    <t>ระบบแสดงข้อมูลทั้งหมดที่มีในระบบ รูปแบบ Data Tabel ตาม Default วันที่นั้นๆ</t>
  </si>
  <si>
    <t>ระบบแสดงข้อมูลทั้งหมดที่มีในระบบ รูปแบบ Data Tabel ตามชื่อกลุ่มสินค้าที่เลือก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</si>
  <si>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ชื่อเครื่องหมายการค้า (อังกฤษ) : กรอกข้อมูลที่เป็นตัวเลข ที่มีในระบบ
- กดปุ่ม ค้นหา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</si>
  <si>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ชื่อเครื่องหมายการค้า (ไทย) : กรอกข้อมูลที่เป็นตัวเลข ที่มีในระบบ
- กดปุ่ม ค้นหา</t>
  </si>
  <si>
    <t>สามารถค้นหาข้อมูล ที่มีวันวันสิ้นสุดตามวันที่ค้นหาได้</t>
  </si>
  <si>
    <t>สามารถกรอกหรือเลือกวันที่สิ้นสุด ที่ต้องการหาข้อมูลได้</t>
  </si>
  <si>
    <t>ระบบแสดงแจ้งเตือน "ไม่พบข้อมูล โปรดลองใหม่อีกครั้ง"
- กดปุ่ม OK</t>
  </si>
  <si>
    <t xml:space="preserve">ระบบแสดงรูปแบบ dd-Mount-yy </t>
  </si>
  <si>
    <t>แจ้งเตือนผิด (เฉพาะ IE) &gt;&gt; v0.0.30-27AUG18 ยังไม่สามารถบันทึกข้อมูลได้ จึงยังค้นหาข้อมูลไม่ได้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</si>
</sst>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87" formatCode="[$-409]d\-mmm\-yyyy;@"/>
    <numFmt numFmtId="188" formatCode="[$-409]mmmm\ d\,\ yyyy;@"/>
    <numFmt numFmtId="189" formatCode="0.0.0"/>
  </numFmts>
  <fonts count="75">
    <font>
      <sz val="8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Tahoma"/>
      <family val="2"/>
    </font>
    <font>
      <b/>
      <sz val="9"/>
      <name val="Tahoma"/>
      <family val="2"/>
    </font>
    <font>
      <sz val="9"/>
      <name val="Tahoma"/>
      <family val="2"/>
    </font>
    <font>
      <sz val="9"/>
      <name val="Cordia New"/>
      <family val="2"/>
    </font>
    <font>
      <sz val="9"/>
      <name val="Arial"/>
      <family val="2"/>
    </font>
    <font>
      <sz val="9"/>
      <color indexed="17"/>
      <name val="Tahoma"/>
      <family val="2"/>
    </font>
    <font>
      <i/>
      <sz val="10"/>
      <color indexed="12"/>
      <name val="Cambria"/>
      <family val="1"/>
    </font>
    <font>
      <sz val="10"/>
      <name val="Tahoma"/>
      <family val="2"/>
    </font>
    <font>
      <sz val="10"/>
      <color indexed="12"/>
      <name val="Tahoma"/>
      <family val="2"/>
    </font>
    <font>
      <sz val="10"/>
      <color indexed="22"/>
      <name val="Tahoma"/>
      <family val="2"/>
    </font>
    <font>
      <sz val="9"/>
      <color indexed="12"/>
      <name val="Arial"/>
      <family val="2"/>
    </font>
    <font>
      <i/>
      <sz val="9"/>
      <color indexed="55"/>
      <name val="Tahoma"/>
      <family val="2"/>
    </font>
    <font>
      <sz val="11"/>
      <color indexed="8"/>
      <name val="Calibri"/>
      <family val="2"/>
      <charset val="222"/>
    </font>
    <font>
      <sz val="11"/>
      <color indexed="8"/>
      <name val="Calibri"/>
      <family val="2"/>
    </font>
    <font>
      <sz val="9"/>
      <color indexed="23"/>
      <name val="Tahoma"/>
      <family val="2"/>
    </font>
    <font>
      <b/>
      <sz val="9"/>
      <color indexed="23"/>
      <name val="Tahoma"/>
      <family val="2"/>
    </font>
    <font>
      <sz val="9"/>
      <color indexed="10"/>
      <name val="Tahoma"/>
      <family val="2"/>
    </font>
    <font>
      <sz val="11"/>
      <name val="Tahoma"/>
      <family val="2"/>
    </font>
    <font>
      <sz val="16"/>
      <name val="Browallia New"/>
      <family val="2"/>
    </font>
    <font>
      <b/>
      <sz val="22"/>
      <name val="Browallia New"/>
      <family val="2"/>
    </font>
    <font>
      <b/>
      <sz val="32"/>
      <name val="Browallia New"/>
      <family val="2"/>
    </font>
    <font>
      <b/>
      <sz val="16"/>
      <name val="Browallia New"/>
      <family val="2"/>
    </font>
    <font>
      <sz val="14"/>
      <name val="Browallia New"/>
      <family val="2"/>
    </font>
    <font>
      <b/>
      <sz val="14"/>
      <name val="Browallia New"/>
      <family val="2"/>
    </font>
    <font>
      <b/>
      <sz val="10"/>
      <color theme="0"/>
      <name val="Tahoma"/>
      <family val="2"/>
    </font>
    <font>
      <sz val="10"/>
      <color theme="5" tint="-0.249977111117893"/>
      <name val="Tahoma"/>
      <family val="2"/>
    </font>
    <font>
      <sz val="10"/>
      <color theme="4" tint="-0.499984740745262"/>
      <name val="Tahoma"/>
      <family val="2"/>
    </font>
    <font>
      <b/>
      <sz val="9"/>
      <color theme="0"/>
      <name val="Tahoma"/>
      <family val="2"/>
    </font>
    <font>
      <sz val="9"/>
      <color theme="0"/>
      <name val="Tahoma"/>
      <family val="2"/>
    </font>
    <font>
      <b/>
      <sz val="9"/>
      <color theme="4"/>
      <name val="Tahoma"/>
      <family val="2"/>
    </font>
    <font>
      <sz val="14"/>
      <color rgb="FFFF0000"/>
      <name val="Tahoma"/>
      <family val="2"/>
      <scheme val="major"/>
    </font>
    <font>
      <sz val="11"/>
      <name val="Tahoma"/>
      <family val="2"/>
      <scheme val="minor"/>
    </font>
    <font>
      <sz val="8"/>
      <name val="Tahoma"/>
      <family val="2"/>
      <scheme val="minor"/>
    </font>
    <font>
      <b/>
      <sz val="11"/>
      <name val="Tahoma"/>
      <family val="2"/>
      <scheme val="major"/>
    </font>
    <font>
      <sz val="14"/>
      <color rgb="FFFF0000"/>
      <name val="Tahoma"/>
      <family val="1"/>
      <scheme val="major"/>
    </font>
    <font>
      <sz val="10"/>
      <color theme="1" tint="0.14999847407452621"/>
      <name val="Tahoma"/>
      <family val="2"/>
    </font>
    <font>
      <b/>
      <sz val="18"/>
      <color rgb="FF0070C0"/>
      <name val="Tahoma"/>
      <family val="2"/>
      <charset val="222"/>
      <scheme val="minor"/>
    </font>
    <font>
      <i/>
      <sz val="10"/>
      <color theme="1"/>
      <name val="Tahoma"/>
      <family val="2"/>
    </font>
    <font>
      <sz val="22"/>
      <color rgb="FFFF0000"/>
      <name val="Tahoma"/>
      <family val="2"/>
    </font>
    <font>
      <sz val="24"/>
      <color rgb="FFFF0000"/>
      <name val="Tahoma"/>
      <family val="2"/>
    </font>
    <font>
      <i/>
      <sz val="9"/>
      <color theme="4"/>
      <name val="Tahoma"/>
      <family val="2"/>
    </font>
    <font>
      <sz val="9"/>
      <color theme="4"/>
      <name val="Tahoma"/>
      <family val="2"/>
    </font>
    <font>
      <b/>
      <sz val="8"/>
      <color rgb="FF0000FF"/>
      <name val="Arial"/>
      <family val="2"/>
    </font>
    <font>
      <b/>
      <sz val="9"/>
      <color rgb="FF008000"/>
      <name val="Arial"/>
      <family val="2"/>
    </font>
    <font>
      <b/>
      <sz val="9"/>
      <color rgb="FF800000"/>
      <name val="Arial"/>
      <family val="2"/>
    </font>
    <font>
      <b/>
      <sz val="9"/>
      <color rgb="FF0000FF"/>
      <name val="Arial"/>
      <family val="2"/>
    </font>
    <font>
      <sz val="8"/>
      <color rgb="FF000000"/>
      <name val="Arial"/>
      <family val="2"/>
    </font>
    <font>
      <b/>
      <sz val="9"/>
      <color rgb="FF000000"/>
      <name val="Arial"/>
      <family val="2"/>
    </font>
    <font>
      <u/>
      <sz val="8"/>
      <color theme="10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u/>
      <sz val="10"/>
      <color rgb="FF0000FF"/>
      <name val="Arial"/>
      <family val="2"/>
    </font>
    <font>
      <b/>
      <i/>
      <u/>
      <sz val="10"/>
      <color theme="1"/>
      <name val="Arial"/>
      <family val="2"/>
    </font>
    <font>
      <sz val="9"/>
      <color rgb="FF7F7F7F"/>
      <name val="Tahoma"/>
      <family val="2"/>
    </font>
    <font>
      <sz val="9"/>
      <color rgb="FF808080"/>
      <name val="Tahoma"/>
      <family val="2"/>
    </font>
    <font>
      <sz val="9"/>
      <color theme="0" tint="-0.499984740745262"/>
      <name val="Tahoma"/>
      <family val="2"/>
    </font>
    <font>
      <u/>
      <sz val="8"/>
      <color theme="0" tint="-0.499984740745262"/>
      <name val="Arial"/>
      <family val="2"/>
    </font>
    <font>
      <sz val="8"/>
      <color theme="0" tint="-0.499984740745262"/>
      <name val="Arial"/>
      <family val="2"/>
    </font>
    <font>
      <sz val="9"/>
      <color rgb="FF0000FF"/>
      <name val="Arial"/>
      <family val="2"/>
    </font>
    <font>
      <i/>
      <sz val="9"/>
      <color rgb="FF969696"/>
      <name val="Tahoma"/>
      <family val="2"/>
    </font>
    <font>
      <sz val="9"/>
      <color rgb="FF7F7F7F"/>
      <name val="Arial"/>
      <family val="2"/>
    </font>
    <font>
      <b/>
      <sz val="9"/>
      <color rgb="FFFFFFFF"/>
      <name val="Tahoma"/>
      <family val="2"/>
    </font>
    <font>
      <sz val="9"/>
      <color rgb="FF0000FF"/>
      <name val="Tahoma"/>
      <family val="2"/>
    </font>
    <font>
      <sz val="9"/>
      <color theme="0" tint="-0.499984740745262"/>
      <name val="Arial"/>
      <family val="2"/>
    </font>
    <font>
      <i/>
      <sz val="9"/>
      <color theme="0" tint="-0.499984740745262"/>
      <name val="Tahoma"/>
      <family val="2"/>
    </font>
    <font>
      <b/>
      <sz val="9"/>
      <color theme="0" tint="-0.499984740745262"/>
      <name val="Tahoma"/>
      <family val="2"/>
    </font>
    <font>
      <b/>
      <sz val="18"/>
      <name val="Adobe Caslon Pro Bold"/>
      <family val="1"/>
    </font>
    <font>
      <sz val="24"/>
      <name val="Adobe Caslon Pro Bold"/>
      <family val="1"/>
    </font>
    <font>
      <sz val="8"/>
      <color rgb="FF7F7F7F"/>
      <name val="Arial"/>
      <family val="2"/>
    </font>
    <font>
      <sz val="9"/>
      <color rgb="FFFF0000"/>
      <name val="Tahoma"/>
      <family val="2"/>
    </font>
    <font>
      <u/>
      <sz val="10"/>
      <color theme="1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249977111117893"/>
        <bgColor indexed="22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4A86E8"/>
        <bgColor rgb="FF4A86E8"/>
      </patternFill>
    </fill>
    <fill>
      <patternFill patternType="solid">
        <fgColor rgb="FF4A86E8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rgb="FF4F81BD"/>
        <bgColor rgb="FF4F81BD"/>
      </patternFill>
    </fill>
    <fill>
      <patternFill patternType="solid">
        <fgColor theme="5" tint="0.59999389629810485"/>
        <bgColor indexed="64"/>
      </patternFill>
    </fill>
  </fills>
  <borders count="7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rgb="FF23201F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3">
    <xf numFmtId="0" fontId="0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51" fillId="0" borderId="0" applyNumberFormat="0" applyFill="0" applyBorder="0" applyAlignment="0" applyProtection="0"/>
  </cellStyleXfs>
  <cellXfs count="513">
    <xf numFmtId="0" fontId="0" fillId="0" borderId="0" xfId="0"/>
    <xf numFmtId="0" fontId="6" fillId="0" borderId="0" xfId="0" applyFont="1" applyProtection="1">
      <protection locked="0"/>
    </xf>
    <xf numFmtId="0" fontId="7" fillId="0" borderId="0" xfId="0" applyFont="1" applyProtection="1">
      <protection locked="0"/>
    </xf>
    <xf numFmtId="0" fontId="5" fillId="0" borderId="0" xfId="0" applyFont="1" applyBorder="1" applyProtection="1">
      <protection locked="0"/>
    </xf>
    <xf numFmtId="0" fontId="5" fillId="0" borderId="0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Border="1" applyAlignment="1" applyProtection="1">
      <alignment horizontal="left" vertical="top"/>
      <protection locked="0"/>
    </xf>
    <xf numFmtId="0" fontId="13" fillId="0" borderId="0" xfId="0" applyFont="1" applyProtection="1">
      <protection locked="0"/>
    </xf>
    <xf numFmtId="0" fontId="5" fillId="0" borderId="0" xfId="0" applyFont="1" applyFill="1" applyBorder="1" applyAlignment="1" applyProtection="1">
      <alignment vertical="top"/>
      <protection locked="0"/>
    </xf>
    <xf numFmtId="0" fontId="5" fillId="0" borderId="0" xfId="0" applyFont="1" applyFill="1" applyBorder="1" applyAlignment="1" applyProtection="1">
      <alignment horizontal="left" vertical="top" wrapText="1"/>
      <protection locked="0"/>
    </xf>
    <xf numFmtId="0" fontId="8" fillId="0" borderId="0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6" fillId="0" borderId="0" xfId="0" applyFont="1" applyAlignment="1" applyProtection="1">
      <alignment horizontal="center"/>
      <protection locked="0"/>
    </xf>
    <xf numFmtId="0" fontId="14" fillId="0" borderId="1" xfId="0" applyFont="1" applyFill="1" applyBorder="1" applyAlignment="1" applyProtection="1">
      <alignment vertical="top" wrapText="1"/>
      <protection locked="0"/>
    </xf>
    <xf numFmtId="0" fontId="14" fillId="0" borderId="3" xfId="0" applyFont="1" applyFill="1" applyBorder="1" applyAlignment="1" applyProtection="1">
      <alignment vertical="top" wrapText="1"/>
      <protection locked="0"/>
    </xf>
    <xf numFmtId="0" fontId="14" fillId="0" borderId="4" xfId="0" applyFont="1" applyFill="1" applyBorder="1" applyAlignment="1" applyProtection="1">
      <alignment vertical="top" wrapText="1"/>
      <protection locked="0"/>
    </xf>
    <xf numFmtId="49" fontId="12" fillId="0" borderId="0" xfId="0" applyNumberFormat="1" applyFont="1" applyAlignment="1" applyProtection="1">
      <alignment vertical="top" wrapText="1"/>
      <protection locked="0"/>
    </xf>
    <xf numFmtId="49" fontId="10" fillId="0" borderId="0" xfId="0" applyNumberFormat="1" applyFont="1" applyAlignment="1" applyProtection="1">
      <alignment vertical="top" wrapText="1"/>
      <protection locked="0"/>
    </xf>
    <xf numFmtId="49" fontId="10" fillId="0" borderId="0" xfId="0" applyNumberFormat="1" applyFont="1" applyAlignment="1" applyProtection="1">
      <alignment horizontal="center" vertical="top" wrapText="1"/>
      <protection locked="0"/>
    </xf>
    <xf numFmtId="49" fontId="10" fillId="0" borderId="0" xfId="0" applyNumberFormat="1" applyFont="1" applyAlignment="1" applyProtection="1">
      <alignment vertical="top"/>
      <protection locked="0"/>
    </xf>
    <xf numFmtId="49" fontId="10" fillId="0" borderId="0" xfId="0" applyNumberFormat="1" applyFont="1" applyAlignment="1" applyProtection="1">
      <alignment horizontal="center" vertical="top"/>
      <protection locked="0"/>
    </xf>
    <xf numFmtId="49" fontId="3" fillId="0" borderId="0" xfId="0" applyNumberFormat="1" applyFont="1" applyAlignment="1" applyProtection="1">
      <alignment horizontal="left" vertical="top"/>
      <protection locked="0"/>
    </xf>
    <xf numFmtId="49" fontId="11" fillId="0" borderId="0" xfId="0" applyNumberFormat="1" applyFont="1" applyAlignment="1" applyProtection="1">
      <alignment vertical="top" wrapText="1"/>
      <protection locked="0"/>
    </xf>
    <xf numFmtId="0" fontId="11" fillId="0" borderId="0" xfId="0" applyNumberFormat="1" applyFont="1" applyAlignment="1" applyProtection="1">
      <alignment vertical="top" wrapText="1"/>
      <protection locked="0"/>
    </xf>
    <xf numFmtId="0" fontId="4" fillId="2" borderId="5" xfId="0" applyFont="1" applyFill="1" applyBorder="1" applyAlignment="1" applyProtection="1">
      <alignment horizontal="center" vertical="center" wrapText="1"/>
    </xf>
    <xf numFmtId="0" fontId="4" fillId="2" borderId="6" xfId="0" applyFont="1" applyFill="1" applyBorder="1" applyAlignment="1" applyProtection="1">
      <alignment horizontal="center" vertical="center" wrapText="1"/>
    </xf>
    <xf numFmtId="0" fontId="4" fillId="2" borderId="7" xfId="0" applyFont="1" applyFill="1" applyBorder="1" applyAlignment="1" applyProtection="1">
      <alignment horizontal="center" vertical="center" wrapText="1"/>
    </xf>
    <xf numFmtId="49" fontId="11" fillId="0" borderId="0" xfId="0" applyNumberFormat="1" applyFont="1" applyAlignment="1" applyProtection="1">
      <alignment horizontal="left" vertical="top" wrapText="1"/>
      <protection locked="0"/>
    </xf>
    <xf numFmtId="49" fontId="11" fillId="0" borderId="0" xfId="0" applyNumberFormat="1" applyFont="1" applyAlignment="1" applyProtection="1">
      <alignment horizontal="center" vertical="top" wrapText="1"/>
      <protection locked="0"/>
    </xf>
    <xf numFmtId="49" fontId="27" fillId="3" borderId="8" xfId="0" applyNumberFormat="1" applyFont="1" applyFill="1" applyBorder="1" applyAlignment="1" applyProtection="1">
      <alignment horizontal="left" vertical="top"/>
    </xf>
    <xf numFmtId="49" fontId="27" fillId="3" borderId="3" xfId="0" applyNumberFormat="1" applyFont="1" applyFill="1" applyBorder="1" applyAlignment="1" applyProtection="1">
      <alignment horizontal="left" vertical="top"/>
    </xf>
    <xf numFmtId="49" fontId="27" fillId="3" borderId="9" xfId="0" applyNumberFormat="1" applyFont="1" applyFill="1" applyBorder="1" applyAlignment="1" applyProtection="1">
      <alignment horizontal="left" vertical="top"/>
    </xf>
    <xf numFmtId="0" fontId="28" fillId="0" borderId="1" xfId="0" applyFont="1" applyBorder="1" applyAlignment="1" applyProtection="1">
      <alignment vertical="top" wrapText="1"/>
      <protection locked="0"/>
    </xf>
    <xf numFmtId="0" fontId="30" fillId="4" borderId="10" xfId="0" applyFont="1" applyFill="1" applyBorder="1" applyAlignment="1" applyProtection="1">
      <alignment vertical="top"/>
    </xf>
    <xf numFmtId="0" fontId="31" fillId="4" borderId="11" xfId="0" applyFont="1" applyFill="1" applyBorder="1" applyAlignment="1" applyProtection="1">
      <alignment vertical="top"/>
    </xf>
    <xf numFmtId="0" fontId="30" fillId="4" borderId="12" xfId="0" applyFont="1" applyFill="1" applyBorder="1" applyAlignment="1" applyProtection="1">
      <alignment vertical="top"/>
    </xf>
    <xf numFmtId="0" fontId="31" fillId="4" borderId="0" xfId="0" applyFont="1" applyFill="1" applyBorder="1" applyAlignment="1" applyProtection="1">
      <alignment vertical="top"/>
    </xf>
    <xf numFmtId="0" fontId="30" fillId="5" borderId="3" xfId="0" applyFont="1" applyFill="1" applyBorder="1" applyAlignment="1" applyProtection="1">
      <alignment vertical="center"/>
    </xf>
    <xf numFmtId="0" fontId="30" fillId="5" borderId="9" xfId="0" applyFont="1" applyFill="1" applyBorder="1" applyAlignment="1" applyProtection="1">
      <alignment vertical="center"/>
    </xf>
    <xf numFmtId="0" fontId="1" fillId="0" borderId="0" xfId="1"/>
    <xf numFmtId="0" fontId="33" fillId="0" borderId="0" xfId="1" applyFont="1"/>
    <xf numFmtId="0" fontId="34" fillId="0" borderId="0" xfId="1" applyFont="1" applyAlignment="1">
      <alignment horizontal="left"/>
    </xf>
    <xf numFmtId="0" fontId="35" fillId="0" borderId="0" xfId="1" applyFont="1"/>
    <xf numFmtId="0" fontId="20" fillId="0" borderId="0" xfId="1" applyFont="1" applyAlignment="1">
      <alignment horizontal="left"/>
    </xf>
    <xf numFmtId="0" fontId="36" fillId="0" borderId="0" xfId="1" applyFont="1"/>
    <xf numFmtId="0" fontId="37" fillId="0" borderId="0" xfId="1" applyFont="1"/>
    <xf numFmtId="49" fontId="38" fillId="0" borderId="1" xfId="0" applyNumberFormat="1" applyFont="1" applyBorder="1" applyAlignment="1" applyProtection="1">
      <alignment horizontal="left" vertical="top"/>
    </xf>
    <xf numFmtId="0" fontId="21" fillId="0" borderId="0" xfId="4" applyFont="1"/>
    <xf numFmtId="0" fontId="22" fillId="0" borderId="0" xfId="4" applyFont="1"/>
    <xf numFmtId="0" fontId="22" fillId="0" borderId="0" xfId="4" applyFont="1" applyAlignment="1">
      <alignment horizontal="left"/>
    </xf>
    <xf numFmtId="0" fontId="21" fillId="0" borderId="0" xfId="4" applyFont="1" applyAlignment="1">
      <alignment horizontal="right" vertical="top"/>
    </xf>
    <xf numFmtId="0" fontId="23" fillId="0" borderId="0" xfId="4" applyFont="1" applyAlignment="1">
      <alignment horizontal="right" vertical="top"/>
    </xf>
    <xf numFmtId="0" fontId="24" fillId="0" borderId="0" xfId="4" applyFont="1"/>
    <xf numFmtId="0" fontId="25" fillId="0" borderId="48" xfId="4" applyFont="1" applyBorder="1"/>
    <xf numFmtId="0" fontId="25" fillId="0" borderId="0" xfId="4" applyFont="1"/>
    <xf numFmtId="0" fontId="24" fillId="0" borderId="0" xfId="4" applyFont="1" applyAlignment="1">
      <alignment vertical="center"/>
    </xf>
    <xf numFmtId="0" fontId="2" fillId="0" borderId="0" xfId="4"/>
    <xf numFmtId="0" fontId="26" fillId="7" borderId="1" xfId="4" applyFont="1" applyFill="1" applyBorder="1" applyAlignment="1">
      <alignment horizontal="center" vertical="center" wrapText="1"/>
    </xf>
    <xf numFmtId="0" fontId="25" fillId="0" borderId="1" xfId="4" applyFont="1" applyBorder="1" applyAlignment="1">
      <alignment horizontal="center" vertical="center" wrapText="1"/>
    </xf>
    <xf numFmtId="0" fontId="25" fillId="0" borderId="1" xfId="4" applyFont="1" applyBorder="1" applyAlignment="1">
      <alignment vertical="center" wrapText="1"/>
    </xf>
    <xf numFmtId="49" fontId="12" fillId="0" borderId="0" xfId="0" applyNumberFormat="1" applyFont="1" applyAlignment="1" applyProtection="1">
      <alignment horizontal="justify" vertical="top"/>
      <protection locked="0"/>
    </xf>
    <xf numFmtId="49" fontId="10" fillId="0" borderId="0" xfId="0" applyNumberFormat="1" applyFont="1" applyAlignment="1" applyProtection="1">
      <alignment horizontal="justify" vertical="top"/>
      <protection locked="0"/>
    </xf>
    <xf numFmtId="49" fontId="3" fillId="0" borderId="0" xfId="0" applyNumberFormat="1" applyFont="1" applyAlignment="1" applyProtection="1">
      <alignment horizontal="justify" vertical="top"/>
      <protection locked="0"/>
    </xf>
    <xf numFmtId="49" fontId="9" fillId="0" borderId="0" xfId="0" applyNumberFormat="1" applyFont="1" applyFill="1" applyBorder="1" applyAlignment="1" applyProtection="1">
      <alignment horizontal="left" vertical="top"/>
      <protection locked="0"/>
    </xf>
    <xf numFmtId="49" fontId="10" fillId="0" borderId="0" xfId="0" applyNumberFormat="1" applyFont="1" applyBorder="1" applyAlignment="1" applyProtection="1">
      <alignment horizontal="justify" vertical="top"/>
      <protection locked="0"/>
    </xf>
    <xf numFmtId="49" fontId="3" fillId="2" borderId="1" xfId="0" applyNumberFormat="1" applyFont="1" applyFill="1" applyBorder="1" applyAlignment="1" applyProtection="1">
      <alignment horizontal="center" vertical="top" wrapText="1"/>
      <protection locked="0"/>
    </xf>
    <xf numFmtId="49" fontId="27" fillId="3" borderId="6" xfId="0" applyNumberFormat="1" applyFont="1" applyFill="1" applyBorder="1" applyAlignment="1" applyProtection="1">
      <alignment horizontal="center" vertical="top" wrapText="1"/>
    </xf>
    <xf numFmtId="0" fontId="30" fillId="8" borderId="6" xfId="0" applyFont="1" applyFill="1" applyBorder="1" applyAlignment="1" applyProtection="1">
      <alignment horizontal="center" vertical="center" wrapText="1"/>
    </xf>
    <xf numFmtId="49" fontId="38" fillId="0" borderId="4" xfId="0" applyNumberFormat="1" applyFont="1" applyBorder="1" applyAlignment="1" applyProtection="1">
      <alignment horizontal="left" vertical="top"/>
    </xf>
    <xf numFmtId="0" fontId="39" fillId="0" borderId="0" xfId="0" applyFont="1" applyAlignment="1">
      <alignment vertical="top"/>
    </xf>
    <xf numFmtId="0" fontId="29" fillId="0" borderId="1" xfId="0" applyNumberFormat="1" applyFont="1" applyBorder="1" applyAlignment="1" applyProtection="1">
      <alignment horizontal="center" vertical="top" wrapText="1"/>
      <protection locked="0"/>
    </xf>
    <xf numFmtId="49" fontId="40" fillId="0" borderId="1" xfId="0" applyNumberFormat="1" applyFont="1" applyBorder="1" applyAlignment="1" applyProtection="1">
      <alignment horizontal="left" vertical="top" wrapText="1"/>
      <protection locked="0"/>
    </xf>
    <xf numFmtId="0" fontId="30" fillId="8" borderId="17" xfId="0" applyFont="1" applyFill="1" applyBorder="1" applyAlignment="1" applyProtection="1">
      <alignment vertical="center" wrapText="1"/>
    </xf>
    <xf numFmtId="0" fontId="30" fillId="8" borderId="6" xfId="0" applyFont="1" applyFill="1" applyBorder="1" applyAlignment="1" applyProtection="1">
      <alignment vertical="center" wrapText="1"/>
    </xf>
    <xf numFmtId="0" fontId="30" fillId="8" borderId="7" xfId="0" applyFont="1" applyFill="1" applyBorder="1" applyAlignment="1" applyProtection="1">
      <alignment vertical="center" wrapText="1"/>
    </xf>
    <xf numFmtId="49" fontId="40" fillId="0" borderId="1" xfId="0" applyNumberFormat="1" applyFont="1" applyBorder="1" applyAlignment="1" applyProtection="1">
      <alignment horizontal="left" vertical="top" wrapText="1"/>
    </xf>
    <xf numFmtId="0" fontId="28" fillId="0" borderId="1" xfId="0" applyFont="1" applyBorder="1" applyAlignment="1" applyProtection="1">
      <alignment vertical="top" wrapText="1"/>
    </xf>
    <xf numFmtId="0" fontId="11" fillId="0" borderId="0" xfId="0" applyNumberFormat="1" applyFont="1" applyAlignment="1" applyProtection="1">
      <alignment horizontal="center" vertical="top" wrapText="1"/>
      <protection locked="0"/>
    </xf>
    <xf numFmtId="0" fontId="10" fillId="0" borderId="0" xfId="0" applyNumberFormat="1" applyFont="1" applyAlignment="1" applyProtection="1">
      <alignment horizontal="center" vertical="top"/>
      <protection locked="0"/>
    </xf>
    <xf numFmtId="0" fontId="10" fillId="0" borderId="0" xfId="0" applyNumberFormat="1" applyFont="1" applyAlignment="1" applyProtection="1">
      <alignment horizontal="center" vertical="top" wrapText="1"/>
      <protection locked="0"/>
    </xf>
    <xf numFmtId="0" fontId="10" fillId="0" borderId="0" xfId="0" applyNumberFormat="1" applyFont="1" applyAlignment="1" applyProtection="1">
      <alignment vertical="top" wrapText="1"/>
      <protection locked="0"/>
    </xf>
    <xf numFmtId="0" fontId="10" fillId="0" borderId="0" xfId="0" applyNumberFormat="1" applyFont="1" applyAlignment="1" applyProtection="1">
      <alignment vertical="top"/>
      <protection locked="0"/>
    </xf>
    <xf numFmtId="0" fontId="1" fillId="0" borderId="0" xfId="0" applyFont="1"/>
    <xf numFmtId="0" fontId="30" fillId="5" borderId="8" xfId="0" applyFont="1" applyFill="1" applyBorder="1" applyAlignment="1" applyProtection="1">
      <alignment vertical="center"/>
    </xf>
    <xf numFmtId="0" fontId="14" fillId="0" borderId="18" xfId="0" applyFont="1" applyFill="1" applyBorder="1" applyAlignment="1" applyProtection="1">
      <alignment vertical="top" wrapText="1"/>
      <protection locked="0"/>
    </xf>
    <xf numFmtId="0" fontId="14" fillId="0" borderId="14" xfId="0" applyFont="1" applyFill="1" applyBorder="1" applyAlignment="1" applyProtection="1">
      <alignment vertical="top" wrapText="1"/>
      <protection locked="0"/>
    </xf>
    <xf numFmtId="0" fontId="14" fillId="0" borderId="19" xfId="0" applyFont="1" applyFill="1" applyBorder="1" applyAlignment="1" applyProtection="1">
      <alignment vertical="top" wrapText="1"/>
      <protection locked="0"/>
    </xf>
    <xf numFmtId="0" fontId="14" fillId="0" borderId="5" xfId="0" applyFont="1" applyFill="1" applyBorder="1" applyAlignment="1" applyProtection="1">
      <alignment vertical="top" wrapText="1"/>
      <protection locked="0"/>
    </xf>
    <xf numFmtId="0" fontId="14" fillId="0" borderId="6" xfId="0" applyFont="1" applyFill="1" applyBorder="1" applyAlignment="1" applyProtection="1">
      <alignment vertical="top" wrapText="1"/>
      <protection locked="0"/>
    </xf>
    <xf numFmtId="0" fontId="14" fillId="0" borderId="7" xfId="0" applyFont="1" applyFill="1" applyBorder="1" applyAlignment="1" applyProtection="1">
      <alignment vertical="top" wrapText="1"/>
      <protection locked="0"/>
    </xf>
    <xf numFmtId="0" fontId="6" fillId="0" borderId="20" xfId="0" applyFont="1" applyBorder="1" applyAlignment="1" applyProtection="1">
      <alignment horizontal="center"/>
      <protection locked="0"/>
    </xf>
    <xf numFmtId="0" fontId="6" fillId="0" borderId="21" xfId="0" applyFont="1" applyBorder="1" applyProtection="1">
      <protection locked="0"/>
    </xf>
    <xf numFmtId="0" fontId="6" fillId="0" borderId="12" xfId="0" applyFont="1" applyBorder="1" applyAlignment="1" applyProtection="1">
      <alignment horizontal="center"/>
      <protection locked="0"/>
    </xf>
    <xf numFmtId="0" fontId="6" fillId="0" borderId="0" xfId="0" applyFont="1" applyBorder="1" applyProtection="1">
      <protection locked="0"/>
    </xf>
    <xf numFmtId="0" fontId="30" fillId="5" borderId="11" xfId="0" applyFont="1" applyFill="1" applyBorder="1" applyAlignment="1" applyProtection="1">
      <alignment vertical="center" wrapText="1"/>
    </xf>
    <xf numFmtId="0" fontId="30" fillId="5" borderId="3" xfId="0" applyFont="1" applyFill="1" applyBorder="1" applyAlignment="1" applyProtection="1">
      <alignment horizontal="center" vertical="center" wrapText="1"/>
    </xf>
    <xf numFmtId="0" fontId="30" fillId="5" borderId="1" xfId="0" applyFont="1" applyFill="1" applyBorder="1" applyAlignment="1" applyProtection="1">
      <alignment horizontal="center" vertical="center" wrapText="1"/>
    </xf>
    <xf numFmtId="0" fontId="30" fillId="5" borderId="4" xfId="0" applyFont="1" applyFill="1" applyBorder="1" applyAlignment="1" applyProtection="1">
      <alignment horizontal="center" vertical="center" wrapText="1"/>
    </xf>
    <xf numFmtId="0" fontId="30" fillId="5" borderId="22" xfId="0" applyFont="1" applyFill="1" applyBorder="1" applyAlignment="1" applyProtection="1">
      <alignment horizontal="center" vertical="center" wrapText="1"/>
    </xf>
    <xf numFmtId="0" fontId="30" fillId="5" borderId="23" xfId="0" applyFont="1" applyFill="1" applyBorder="1" applyAlignment="1" applyProtection="1">
      <alignment horizontal="center" vertical="center" wrapText="1"/>
    </xf>
    <xf numFmtId="0" fontId="30" fillId="5" borderId="9" xfId="0" applyFont="1" applyFill="1" applyBorder="1" applyAlignment="1" applyProtection="1">
      <alignment horizontal="center" vertical="center" wrapText="1"/>
    </xf>
    <xf numFmtId="0" fontId="30" fillId="5" borderId="24" xfId="0" applyFont="1" applyFill="1" applyBorder="1" applyAlignment="1" applyProtection="1">
      <alignment horizontal="center" vertical="center" wrapText="1"/>
    </xf>
    <xf numFmtId="0" fontId="30" fillId="5" borderId="25" xfId="0" applyFont="1" applyFill="1" applyBorder="1" applyAlignment="1" applyProtection="1">
      <alignment horizontal="center" vertical="center" wrapText="1"/>
    </xf>
    <xf numFmtId="49" fontId="27" fillId="3" borderId="1" xfId="0" applyNumberFormat="1" applyFont="1" applyFill="1" applyBorder="1" applyAlignment="1" applyProtection="1">
      <alignment horizontal="center" vertical="center" wrapText="1"/>
    </xf>
    <xf numFmtId="0" fontId="17" fillId="0" borderId="16" xfId="0" applyFont="1" applyFill="1" applyBorder="1" applyAlignment="1" applyProtection="1">
      <alignment horizontal="left" wrapText="1"/>
      <protection locked="0"/>
    </xf>
    <xf numFmtId="0" fontId="17" fillId="0" borderId="16" xfId="0" applyFont="1" applyFill="1" applyBorder="1" applyAlignment="1" applyProtection="1">
      <alignment horizontal="center" wrapText="1"/>
      <protection locked="0"/>
    </xf>
    <xf numFmtId="14" fontId="17" fillId="0" borderId="1" xfId="0" applyNumberFormat="1" applyFont="1" applyFill="1" applyBorder="1" applyAlignment="1" applyProtection="1">
      <alignment wrapText="1"/>
      <protection locked="0"/>
    </xf>
    <xf numFmtId="0" fontId="17" fillId="0" borderId="1" xfId="0" applyFont="1" applyFill="1" applyBorder="1" applyAlignment="1" applyProtection="1">
      <alignment wrapText="1"/>
      <protection locked="0"/>
    </xf>
    <xf numFmtId="0" fontId="17" fillId="0" borderId="1" xfId="0" applyFont="1" applyFill="1" applyBorder="1" applyAlignment="1" applyProtection="1">
      <alignment horizontal="left" wrapText="1"/>
      <protection locked="0"/>
    </xf>
    <xf numFmtId="0" fontId="17" fillId="0" borderId="4" xfId="0" applyFont="1" applyFill="1" applyBorder="1" applyAlignment="1" applyProtection="1">
      <alignment horizontal="left" wrapText="1"/>
      <protection locked="0"/>
    </xf>
    <xf numFmtId="0" fontId="18" fillId="0" borderId="1" xfId="0" applyFont="1" applyFill="1" applyBorder="1" applyAlignment="1" applyProtection="1">
      <alignment wrapText="1"/>
      <protection locked="0"/>
    </xf>
    <xf numFmtId="0" fontId="17" fillId="0" borderId="3" xfId="0" applyFont="1" applyFill="1" applyBorder="1" applyAlignment="1" applyProtection="1">
      <alignment horizontal="center" wrapText="1"/>
      <protection locked="0"/>
    </xf>
    <xf numFmtId="0" fontId="17" fillId="0" borderId="18" xfId="0" applyFont="1" applyFill="1" applyBorder="1" applyAlignment="1" applyProtection="1">
      <alignment horizontal="center" wrapText="1"/>
      <protection locked="0"/>
    </xf>
    <xf numFmtId="0" fontId="17" fillId="0" borderId="26" xfId="0" applyFont="1" applyFill="1" applyBorder="1" applyAlignment="1" applyProtection="1">
      <alignment horizontal="center" wrapText="1"/>
      <protection locked="0"/>
    </xf>
    <xf numFmtId="14" fontId="17" fillId="0" borderId="14" xfId="0" applyNumberFormat="1" applyFont="1" applyFill="1" applyBorder="1" applyAlignment="1" applyProtection="1">
      <alignment wrapText="1"/>
      <protection locked="0"/>
    </xf>
    <xf numFmtId="0" fontId="17" fillId="0" borderId="14" xfId="0" applyFont="1" applyFill="1" applyBorder="1" applyAlignment="1" applyProtection="1">
      <alignment wrapText="1"/>
      <protection locked="0"/>
    </xf>
    <xf numFmtId="0" fontId="17" fillId="0" borderId="14" xfId="0" applyFont="1" applyFill="1" applyBorder="1" applyAlignment="1" applyProtection="1">
      <alignment horizontal="left" wrapText="1"/>
      <protection locked="0"/>
    </xf>
    <xf numFmtId="0" fontId="17" fillId="0" borderId="19" xfId="0" applyFont="1" applyFill="1" applyBorder="1" applyAlignment="1" applyProtection="1">
      <alignment horizontal="left" wrapText="1"/>
      <protection locked="0"/>
    </xf>
    <xf numFmtId="0" fontId="18" fillId="0" borderId="14" xfId="0" applyFont="1" applyFill="1" applyBorder="1" applyAlignment="1" applyProtection="1">
      <alignment wrapText="1"/>
      <protection locked="0"/>
    </xf>
    <xf numFmtId="0" fontId="17" fillId="0" borderId="26" xfId="0" applyFont="1" applyFill="1" applyBorder="1" applyAlignment="1" applyProtection="1">
      <alignment horizontal="left" wrapText="1"/>
      <protection locked="0"/>
    </xf>
    <xf numFmtId="0" fontId="21" fillId="0" borderId="0" xfId="4" applyFont="1" applyAlignment="1">
      <alignment horizontal="right"/>
    </xf>
    <xf numFmtId="0" fontId="21" fillId="0" borderId="0" xfId="4" applyNumberFormat="1" applyFont="1" applyAlignment="1">
      <alignment horizontal="left"/>
    </xf>
    <xf numFmtId="187" fontId="25" fillId="0" borderId="1" xfId="4" applyNumberFormat="1" applyFont="1" applyBorder="1" applyAlignment="1">
      <alignment horizontal="center" vertical="center" wrapText="1"/>
    </xf>
    <xf numFmtId="188" fontId="21" fillId="0" borderId="0" xfId="4" applyNumberFormat="1" applyFont="1" applyAlignment="1">
      <alignment horizontal="left" vertical="top"/>
    </xf>
    <xf numFmtId="189" fontId="25" fillId="0" borderId="1" xfId="4" applyNumberFormat="1" applyFont="1" applyBorder="1" applyAlignment="1">
      <alignment horizontal="center" vertical="center" wrapText="1"/>
    </xf>
    <xf numFmtId="0" fontId="2" fillId="0" borderId="0" xfId="0" applyFont="1"/>
    <xf numFmtId="0" fontId="50" fillId="7" borderId="49" xfId="0" applyFont="1" applyFill="1" applyBorder="1" applyAlignment="1">
      <alignment horizontal="center" vertical="center"/>
    </xf>
    <xf numFmtId="10" fontId="50" fillId="7" borderId="49" xfId="0" applyNumberFormat="1" applyFont="1" applyFill="1" applyBorder="1" applyAlignment="1">
      <alignment horizontal="center" vertical="center"/>
    </xf>
    <xf numFmtId="49" fontId="38" fillId="0" borderId="4" xfId="0" applyNumberFormat="1" applyFont="1" applyBorder="1" applyAlignment="1" applyProtection="1">
      <alignment horizontal="left" vertical="top"/>
    </xf>
    <xf numFmtId="0" fontId="32" fillId="0" borderId="0" xfId="0" applyFont="1" applyFill="1" applyBorder="1" applyAlignment="1" applyProtection="1">
      <alignment vertical="top" wrapText="1"/>
      <protection locked="0"/>
    </xf>
    <xf numFmtId="0" fontId="4" fillId="0" borderId="0" xfId="0" applyFont="1" applyFill="1" applyBorder="1" applyAlignment="1" applyProtection="1">
      <alignment vertical="top"/>
      <protection locked="0"/>
    </xf>
    <xf numFmtId="0" fontId="30" fillId="0" borderId="0" xfId="0" applyFont="1" applyFill="1" applyBorder="1" applyAlignment="1" applyProtection="1">
      <alignment vertical="top"/>
    </xf>
    <xf numFmtId="0" fontId="31" fillId="0" borderId="0" xfId="0" applyFont="1" applyFill="1" applyBorder="1" applyAlignment="1" applyProtection="1">
      <alignment vertical="top"/>
    </xf>
    <xf numFmtId="0" fontId="30" fillId="5" borderId="23" xfId="0" applyFont="1" applyFill="1" applyBorder="1" applyAlignment="1" applyProtection="1">
      <alignment horizontal="center" vertical="center" wrapText="1"/>
    </xf>
    <xf numFmtId="49" fontId="38" fillId="0" borderId="4" xfId="0" applyNumberFormat="1" applyFont="1" applyBorder="1" applyAlignment="1" applyProtection="1">
      <alignment horizontal="left" vertical="top" wrapText="1"/>
    </xf>
    <xf numFmtId="0" fontId="30" fillId="5" borderId="42" xfId="0" applyFont="1" applyFill="1" applyBorder="1" applyAlignment="1" applyProtection="1">
      <alignment horizontal="center" vertical="center" wrapText="1"/>
    </xf>
    <xf numFmtId="0" fontId="28" fillId="0" borderId="1" xfId="1" applyFont="1" applyBorder="1" applyAlignment="1" applyProtection="1">
      <alignment vertical="top" wrapText="1"/>
      <protection locked="0"/>
    </xf>
    <xf numFmtId="0" fontId="28" fillId="6" borderId="1" xfId="1" applyFont="1" applyFill="1" applyBorder="1" applyAlignment="1" applyProtection="1">
      <alignment vertical="top" wrapText="1"/>
      <protection locked="0"/>
    </xf>
    <xf numFmtId="49" fontId="29" fillId="0" borderId="1" xfId="1" applyNumberFormat="1" applyFont="1" applyBorder="1" applyAlignment="1" applyProtection="1">
      <alignment horizontal="center" vertical="top" wrapText="1"/>
      <protection locked="0"/>
    </xf>
    <xf numFmtId="0" fontId="50" fillId="7" borderId="49" xfId="0" applyFont="1" applyFill="1" applyBorder="1" applyAlignment="1">
      <alignment horizontal="center" vertical="center" wrapText="1"/>
    </xf>
    <xf numFmtId="0" fontId="50" fillId="7" borderId="49" xfId="1" applyFont="1" applyFill="1" applyBorder="1" applyAlignment="1">
      <alignment horizontal="center" vertical="center"/>
    </xf>
    <xf numFmtId="0" fontId="4" fillId="2" borderId="50" xfId="1" applyFont="1" applyFill="1" applyBorder="1" applyAlignment="1" applyProtection="1">
      <alignment horizontal="center" vertical="center" wrapText="1"/>
    </xf>
    <xf numFmtId="0" fontId="4" fillId="2" borderId="34" xfId="1" applyFont="1" applyFill="1" applyBorder="1" applyAlignment="1" applyProtection="1">
      <alignment horizontal="center" vertical="center" wrapText="1"/>
    </xf>
    <xf numFmtId="0" fontId="4" fillId="2" borderId="44" xfId="1" applyFont="1" applyFill="1" applyBorder="1" applyAlignment="1" applyProtection="1">
      <alignment horizontal="center" vertical="center" wrapText="1"/>
    </xf>
    <xf numFmtId="0" fontId="5" fillId="0" borderId="0" xfId="1" applyFont="1" applyBorder="1" applyProtection="1">
      <protection locked="0"/>
    </xf>
    <xf numFmtId="0" fontId="6" fillId="0" borderId="0" xfId="1" applyFont="1" applyProtection="1">
      <protection locked="0"/>
    </xf>
    <xf numFmtId="0" fontId="14" fillId="0" borderId="3" xfId="1" applyFont="1" applyFill="1" applyBorder="1" applyAlignment="1" applyProtection="1">
      <alignment vertical="top" wrapText="1"/>
      <protection locked="0"/>
    </xf>
    <xf numFmtId="0" fontId="14" fillId="0" borderId="1" xfId="1" applyFont="1" applyFill="1" applyBorder="1" applyAlignment="1" applyProtection="1">
      <alignment vertical="top" wrapText="1"/>
      <protection locked="0"/>
    </xf>
    <xf numFmtId="0" fontId="14" fillId="0" borderId="4" xfId="1" applyFont="1" applyFill="1" applyBorder="1" applyAlignment="1" applyProtection="1">
      <alignment vertical="top" wrapText="1"/>
      <protection locked="0"/>
    </xf>
    <xf numFmtId="0" fontId="1" fillId="0" borderId="0" xfId="1" applyFont="1" applyAlignment="1">
      <alignment wrapText="1"/>
    </xf>
    <xf numFmtId="0" fontId="13" fillId="0" borderId="0" xfId="1" applyFont="1" applyProtection="1">
      <protection locked="0"/>
    </xf>
    <xf numFmtId="0" fontId="14" fillId="0" borderId="5" xfId="1" applyFont="1" applyFill="1" applyBorder="1" applyAlignment="1" applyProtection="1">
      <alignment vertical="top" wrapText="1"/>
      <protection locked="0"/>
    </xf>
    <xf numFmtId="0" fontId="14" fillId="0" borderId="6" xfId="1" applyFont="1" applyFill="1" applyBorder="1" applyAlignment="1" applyProtection="1">
      <alignment vertical="top" wrapText="1"/>
      <protection locked="0"/>
    </xf>
    <xf numFmtId="0" fontId="14" fillId="0" borderId="7" xfId="1" applyFont="1" applyFill="1" applyBorder="1" applyAlignment="1" applyProtection="1">
      <alignment vertical="top" wrapText="1"/>
      <protection locked="0"/>
    </xf>
    <xf numFmtId="0" fontId="52" fillId="9" borderId="51" xfId="0" applyFont="1" applyFill="1" applyBorder="1" applyAlignment="1">
      <alignment horizontal="center" vertical="top" wrapText="1"/>
    </xf>
    <xf numFmtId="0" fontId="53" fillId="10" borderId="1" xfId="0" applyFont="1" applyFill="1" applyBorder="1" applyAlignment="1">
      <alignment horizontal="center" wrapText="1"/>
    </xf>
    <xf numFmtId="0" fontId="53" fillId="11" borderId="1" xfId="0" applyFont="1" applyFill="1" applyBorder="1" applyAlignment="1">
      <alignment horizontal="center"/>
    </xf>
    <xf numFmtId="0" fontId="2" fillId="0" borderId="51" xfId="0" applyFont="1" applyBorder="1" applyAlignment="1">
      <alignment horizontal="center" vertical="top"/>
    </xf>
    <xf numFmtId="0" fontId="2" fillId="0" borderId="51" xfId="0" applyFont="1" applyBorder="1" applyAlignment="1">
      <alignment vertical="top"/>
    </xf>
    <xf numFmtId="0" fontId="54" fillId="0" borderId="1" xfId="0" applyFont="1" applyBorder="1" applyAlignment="1">
      <alignment vertical="top" wrapText="1"/>
    </xf>
    <xf numFmtId="0" fontId="54" fillId="0" borderId="1" xfId="0" applyFont="1" applyBorder="1" applyAlignment="1">
      <alignment horizontal="center"/>
    </xf>
    <xf numFmtId="0" fontId="55" fillId="0" borderId="1" xfId="0" applyFont="1" applyBorder="1" applyAlignment="1">
      <alignment vertical="top"/>
    </xf>
    <xf numFmtId="0" fontId="2" fillId="0" borderId="0" xfId="0" applyFont="1" applyAlignment="1">
      <alignment vertical="top" wrapText="1"/>
    </xf>
    <xf numFmtId="0" fontId="2" fillId="0" borderId="0" xfId="0" applyFont="1" applyAlignment="1">
      <alignment vertical="top"/>
    </xf>
    <xf numFmtId="0" fontId="54" fillId="12" borderId="1" xfId="0" applyFont="1" applyFill="1" applyBorder="1" applyAlignment="1">
      <alignment vertical="top" wrapText="1"/>
    </xf>
    <xf numFmtId="0" fontId="54" fillId="12" borderId="1" xfId="0" applyFont="1" applyFill="1" applyBorder="1" applyAlignment="1">
      <alignment horizontal="center"/>
    </xf>
    <xf numFmtId="0" fontId="2" fillId="0" borderId="51" xfId="0" applyFont="1" applyBorder="1" applyAlignment="1">
      <alignment horizontal="center" vertical="center"/>
    </xf>
    <xf numFmtId="0" fontId="2" fillId="0" borderId="51" xfId="0" applyFont="1" applyBorder="1" applyAlignment="1">
      <alignment vertical="center"/>
    </xf>
    <xf numFmtId="0" fontId="54" fillId="0" borderId="1" xfId="0" applyFont="1" applyBorder="1" applyAlignment="1">
      <alignment vertical="center" wrapText="1"/>
    </xf>
    <xf numFmtId="0" fontId="54" fillId="0" borderId="1" xfId="0" applyFont="1" applyBorder="1" applyAlignment="1">
      <alignment horizontal="center" vertical="center"/>
    </xf>
    <xf numFmtId="0" fontId="55" fillId="0" borderId="1" xfId="0" applyFont="1" applyBorder="1" applyAlignment="1">
      <alignment vertical="center"/>
    </xf>
    <xf numFmtId="0" fontId="0" fillId="0" borderId="1" xfId="0" applyBorder="1"/>
    <xf numFmtId="0" fontId="2" fillId="0" borderId="1" xfId="0" applyFont="1" applyBorder="1" applyAlignment="1">
      <alignment vertical="top" wrapText="1"/>
    </xf>
    <xf numFmtId="0" fontId="2" fillId="0" borderId="1" xfId="0" applyFont="1" applyBorder="1" applyAlignment="1">
      <alignment vertical="top"/>
    </xf>
    <xf numFmtId="0" fontId="1" fillId="0" borderId="0" xfId="1" applyFont="1" applyFill="1" applyAlignment="1">
      <alignment wrapText="1"/>
    </xf>
    <xf numFmtId="0" fontId="13" fillId="0" borderId="0" xfId="1" applyFont="1" applyFill="1" applyProtection="1">
      <protection locked="0"/>
    </xf>
    <xf numFmtId="0" fontId="30" fillId="5" borderId="50" xfId="0" applyFont="1" applyFill="1" applyBorder="1" applyAlignment="1" applyProtection="1">
      <alignment horizontal="center" vertical="center" wrapText="1"/>
    </xf>
    <xf numFmtId="0" fontId="30" fillId="5" borderId="18" xfId="0" applyFont="1" applyFill="1" applyBorder="1" applyAlignment="1" applyProtection="1">
      <alignment horizontal="center" vertical="center" wrapText="1"/>
    </xf>
    <xf numFmtId="0" fontId="30" fillId="5" borderId="14" xfId="0" applyFont="1" applyFill="1" applyBorder="1" applyAlignment="1" applyProtection="1">
      <alignment horizontal="center" vertical="center" wrapText="1"/>
    </xf>
    <xf numFmtId="0" fontId="30" fillId="5" borderId="19" xfId="0" applyFont="1" applyFill="1" applyBorder="1" applyAlignment="1" applyProtection="1">
      <alignment horizontal="center" vertical="center" wrapText="1"/>
    </xf>
    <xf numFmtId="0" fontId="30" fillId="8" borderId="52" xfId="1" applyFont="1" applyFill="1" applyBorder="1" applyAlignment="1" applyProtection="1">
      <alignment vertical="center" wrapText="1"/>
    </xf>
    <xf numFmtId="0" fontId="30" fillId="8" borderId="45" xfId="1" applyFont="1" applyFill="1" applyBorder="1" applyAlignment="1" applyProtection="1">
      <alignment vertical="center" wrapText="1"/>
    </xf>
    <xf numFmtId="0" fontId="30" fillId="8" borderId="2" xfId="1" applyFont="1" applyFill="1" applyBorder="1" applyAlignment="1" applyProtection="1">
      <alignment horizontal="center" vertical="center" wrapText="1"/>
    </xf>
    <xf numFmtId="0" fontId="30" fillId="8" borderId="2" xfId="1" applyFont="1" applyFill="1" applyBorder="1" applyAlignment="1" applyProtection="1">
      <alignment vertical="center" wrapText="1"/>
    </xf>
    <xf numFmtId="0" fontId="57" fillId="0" borderId="1" xfId="0" applyFont="1" applyBorder="1" applyAlignment="1">
      <alignment horizontal="center" vertical="center" wrapText="1"/>
    </xf>
    <xf numFmtId="0" fontId="57" fillId="0" borderId="1" xfId="0" applyFont="1" applyBorder="1" applyAlignment="1">
      <alignment vertical="top" wrapText="1"/>
    </xf>
    <xf numFmtId="14" fontId="57" fillId="0" borderId="1" xfId="0" applyNumberFormat="1" applyFont="1" applyBorder="1" applyAlignment="1">
      <alignment vertical="top" wrapText="1"/>
    </xf>
    <xf numFmtId="0" fontId="51" fillId="0" borderId="1" xfId="12" applyBorder="1" applyAlignment="1">
      <alignment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wrapText="1"/>
    </xf>
    <xf numFmtId="0" fontId="58" fillId="0" borderId="1" xfId="0" applyFont="1" applyBorder="1" applyAlignment="1">
      <alignment horizontal="center" vertical="center" wrapText="1"/>
    </xf>
    <xf numFmtId="0" fontId="59" fillId="0" borderId="1" xfId="0" applyFont="1" applyBorder="1" applyAlignment="1">
      <alignment horizontal="center" vertical="center" wrapText="1"/>
    </xf>
    <xf numFmtId="0" fontId="59" fillId="0" borderId="1" xfId="0" applyFont="1" applyBorder="1" applyAlignment="1">
      <alignment vertical="top" wrapText="1"/>
    </xf>
    <xf numFmtId="14" fontId="59" fillId="0" borderId="1" xfId="0" applyNumberFormat="1" applyFont="1" applyBorder="1" applyAlignment="1">
      <alignment vertical="top" wrapText="1"/>
    </xf>
    <xf numFmtId="0" fontId="60" fillId="0" borderId="1" xfId="12" applyFont="1" applyBorder="1" applyAlignment="1">
      <alignment vertical="top" wrapText="1"/>
    </xf>
    <xf numFmtId="0" fontId="61" fillId="0" borderId="1" xfId="0" applyFont="1" applyBorder="1" applyAlignment="1">
      <alignment wrapText="1"/>
    </xf>
    <xf numFmtId="0" fontId="61" fillId="0" borderId="1" xfId="0" applyFont="1" applyBorder="1" applyAlignment="1">
      <alignment vertical="top" wrapText="1"/>
    </xf>
    <xf numFmtId="0" fontId="61" fillId="0" borderId="1" xfId="0" applyFont="1" applyBorder="1" applyAlignment="1">
      <alignment vertical="center" wrapText="1"/>
    </xf>
    <xf numFmtId="0" fontId="61" fillId="13" borderId="1" xfId="0" applyFont="1" applyFill="1" applyBorder="1" applyAlignment="1">
      <alignment vertical="center" wrapText="1"/>
    </xf>
    <xf numFmtId="0" fontId="61" fillId="0" borderId="0" xfId="0" applyFont="1" applyAlignment="1">
      <alignment wrapText="1"/>
    </xf>
    <xf numFmtId="0" fontId="59" fillId="0" borderId="1" xfId="0" applyFont="1" applyFill="1" applyBorder="1" applyAlignment="1">
      <alignment vertical="top" wrapText="1"/>
    </xf>
    <xf numFmtId="0" fontId="30" fillId="13" borderId="1" xfId="0" applyFont="1" applyFill="1" applyBorder="1" applyAlignment="1">
      <alignment vertical="center" wrapText="1"/>
    </xf>
    <xf numFmtId="0" fontId="63" fillId="0" borderId="53" xfId="0" applyFont="1" applyBorder="1" applyAlignment="1">
      <alignment vertical="top" wrapText="1"/>
    </xf>
    <xf numFmtId="0" fontId="63" fillId="0" borderId="51" xfId="0" applyFont="1" applyBorder="1" applyAlignment="1">
      <alignment vertical="top" wrapText="1"/>
    </xf>
    <xf numFmtId="0" fontId="63" fillId="0" borderId="54" xfId="0" applyFont="1" applyBorder="1" applyAlignment="1">
      <alignment vertical="top" wrapText="1"/>
    </xf>
    <xf numFmtId="0" fontId="57" fillId="0" borderId="55" xfId="0" applyFont="1" applyBorder="1" applyAlignment="1">
      <alignment horizontal="center" vertical="center" wrapText="1"/>
    </xf>
    <xf numFmtId="0" fontId="57" fillId="0" borderId="55" xfId="0" applyFont="1" applyBorder="1" applyAlignment="1">
      <alignment vertical="top" wrapText="1"/>
    </xf>
    <xf numFmtId="0" fontId="64" fillId="0" borderId="55" xfId="0" applyFont="1" applyBorder="1" applyAlignment="1">
      <alignment wrapText="1"/>
    </xf>
    <xf numFmtId="0" fontId="1" fillId="0" borderId="55" xfId="0" applyFont="1" applyBorder="1" applyAlignment="1">
      <alignment wrapText="1"/>
    </xf>
    <xf numFmtId="0" fontId="1" fillId="0" borderId="0" xfId="0" applyFont="1" applyAlignment="1">
      <alignment wrapText="1"/>
    </xf>
    <xf numFmtId="0" fontId="0" fillId="0" borderId="0" xfId="0" applyFont="1" applyAlignment="1"/>
    <xf numFmtId="0" fontId="57" fillId="0" borderId="51" xfId="0" applyFont="1" applyBorder="1" applyAlignment="1">
      <alignment horizontal="center" vertical="center" wrapText="1"/>
    </xf>
    <xf numFmtId="0" fontId="57" fillId="0" borderId="51" xfId="0" applyFont="1" applyBorder="1" applyAlignment="1">
      <alignment vertical="top" wrapText="1"/>
    </xf>
    <xf numFmtId="0" fontId="64" fillId="0" borderId="51" xfId="0" applyFont="1" applyBorder="1" applyAlignment="1">
      <alignment wrapText="1"/>
    </xf>
    <xf numFmtId="0" fontId="1" fillId="0" borderId="51" xfId="0" applyFont="1" applyBorder="1" applyAlignment="1">
      <alignment wrapText="1"/>
    </xf>
    <xf numFmtId="0" fontId="63" fillId="0" borderId="56" xfId="0" applyFont="1" applyBorder="1" applyAlignment="1">
      <alignment vertical="top" wrapText="1"/>
    </xf>
    <xf numFmtId="0" fontId="63" fillId="0" borderId="57" xfId="0" applyFont="1" applyBorder="1" applyAlignment="1">
      <alignment vertical="top" wrapText="1"/>
    </xf>
    <xf numFmtId="0" fontId="63" fillId="0" borderId="58" xfId="0" applyFont="1" applyBorder="1" applyAlignment="1">
      <alignment vertical="top" wrapText="1"/>
    </xf>
    <xf numFmtId="0" fontId="65" fillId="14" borderId="59" xfId="0" applyFont="1" applyFill="1" applyBorder="1" applyAlignment="1">
      <alignment vertical="center" wrapText="1"/>
    </xf>
    <xf numFmtId="0" fontId="65" fillId="14" borderId="58" xfId="0" applyFont="1" applyFill="1" applyBorder="1" applyAlignment="1">
      <alignment vertical="center" wrapText="1"/>
    </xf>
    <xf numFmtId="0" fontId="65" fillId="14" borderId="57" xfId="0" applyFont="1" applyFill="1" applyBorder="1" applyAlignment="1">
      <alignment horizontal="center" vertical="center" wrapText="1"/>
    </xf>
    <xf numFmtId="0" fontId="65" fillId="14" borderId="57" xfId="0" applyFont="1" applyFill="1" applyBorder="1" applyAlignment="1">
      <alignment vertical="center" wrapText="1"/>
    </xf>
    <xf numFmtId="0" fontId="62" fillId="0" borderId="0" xfId="0" applyFont="1"/>
    <xf numFmtId="0" fontId="1" fillId="0" borderId="55" xfId="0" applyFont="1" applyBorder="1" applyAlignment="1">
      <alignment horizontal="center" vertical="center" wrapText="1"/>
    </xf>
    <xf numFmtId="0" fontId="58" fillId="0" borderId="60" xfId="0" applyFont="1" applyBorder="1" applyAlignment="1">
      <alignment horizontal="center" vertical="center" wrapText="1"/>
    </xf>
    <xf numFmtId="0" fontId="58" fillId="0" borderId="60" xfId="0" applyFont="1" applyBorder="1" applyAlignment="1">
      <alignment horizontal="left" vertical="top" wrapText="1"/>
    </xf>
    <xf numFmtId="0" fontId="58" fillId="0" borderId="53" xfId="0" applyFont="1" applyBorder="1" applyAlignment="1">
      <alignment horizontal="center" vertical="center" wrapText="1"/>
    </xf>
    <xf numFmtId="0" fontId="58" fillId="0" borderId="51" xfId="0" applyFont="1" applyBorder="1" applyAlignment="1">
      <alignment vertical="top" wrapText="1"/>
    </xf>
    <xf numFmtId="0" fontId="58" fillId="0" borderId="51" xfId="0" applyFont="1" applyBorder="1" applyAlignment="1">
      <alignment horizontal="left" vertical="top" wrapText="1"/>
    </xf>
    <xf numFmtId="0" fontId="58" fillId="0" borderId="60" xfId="0" applyFont="1" applyBorder="1" applyAlignment="1">
      <alignment horizontal="center" vertical="top" wrapText="1"/>
    </xf>
    <xf numFmtId="0" fontId="63" fillId="0" borderId="53" xfId="0" applyFont="1" applyFill="1" applyBorder="1" applyAlignment="1">
      <alignment vertical="top" wrapText="1"/>
    </xf>
    <xf numFmtId="0" fontId="63" fillId="0" borderId="51" xfId="0" applyFont="1" applyFill="1" applyBorder="1" applyAlignment="1">
      <alignment vertical="top" wrapText="1"/>
    </xf>
    <xf numFmtId="0" fontId="63" fillId="0" borderId="54" xfId="0" applyFont="1" applyFill="1" applyBorder="1" applyAlignment="1">
      <alignment vertical="top" wrapText="1"/>
    </xf>
    <xf numFmtId="0" fontId="58" fillId="0" borderId="53" xfId="0" applyFont="1" applyFill="1" applyBorder="1" applyAlignment="1">
      <alignment horizontal="center" vertical="center" wrapText="1"/>
    </xf>
    <xf numFmtId="0" fontId="58" fillId="0" borderId="60" xfId="0" applyFont="1" applyFill="1" applyBorder="1" applyAlignment="1">
      <alignment horizontal="center" vertical="top" wrapText="1"/>
    </xf>
    <xf numFmtId="0" fontId="58" fillId="0" borderId="51" xfId="0" applyFont="1" applyFill="1" applyBorder="1" applyAlignment="1">
      <alignment horizontal="left" vertical="top" wrapText="1"/>
    </xf>
    <xf numFmtId="0" fontId="58" fillId="0" borderId="51" xfId="0" applyFont="1" applyFill="1" applyBorder="1" applyAlignment="1">
      <alignment vertical="top" wrapText="1"/>
    </xf>
    <xf numFmtId="0" fontId="62" fillId="0" borderId="0" xfId="0" applyFont="1" applyFill="1"/>
    <xf numFmtId="0" fontId="0" fillId="0" borderId="0" xfId="0" applyFont="1" applyFill="1" applyAlignment="1"/>
    <xf numFmtId="0" fontId="57" fillId="0" borderId="51" xfId="0" applyFont="1" applyBorder="1" applyAlignment="1">
      <alignment horizontal="left" vertical="top" wrapText="1"/>
    </xf>
    <xf numFmtId="0" fontId="57" fillId="0" borderId="60" xfId="0" applyFont="1" applyBorder="1" applyAlignment="1">
      <alignment vertical="top" wrapText="1"/>
    </xf>
    <xf numFmtId="0" fontId="58" fillId="0" borderId="63" xfId="0" applyFont="1" applyBorder="1" applyAlignment="1">
      <alignment horizontal="left" vertical="top" wrapText="1"/>
    </xf>
    <xf numFmtId="0" fontId="63" fillId="0" borderId="61" xfId="0" applyFont="1" applyBorder="1" applyAlignment="1">
      <alignment vertical="top" wrapText="1"/>
    </xf>
    <xf numFmtId="0" fontId="63" fillId="0" borderId="63" xfId="0" applyFont="1" applyBorder="1" applyAlignment="1">
      <alignment vertical="top" wrapText="1"/>
    </xf>
    <xf numFmtId="0" fontId="63" fillId="0" borderId="64" xfId="0" applyFont="1" applyBorder="1" applyAlignment="1">
      <alignment vertical="top" wrapText="1"/>
    </xf>
    <xf numFmtId="0" fontId="58" fillId="0" borderId="51" xfId="0" applyFont="1" applyBorder="1" applyAlignment="1">
      <alignment horizontal="center" vertical="center" wrapText="1"/>
    </xf>
    <xf numFmtId="0" fontId="58" fillId="0" borderId="51" xfId="0" applyFont="1" applyBorder="1" applyAlignment="1">
      <alignment horizontal="center" vertical="top" wrapText="1"/>
    </xf>
    <xf numFmtId="0" fontId="63" fillId="0" borderId="65" xfId="0" applyFont="1" applyBorder="1" applyAlignment="1">
      <alignment vertical="top" wrapText="1"/>
    </xf>
    <xf numFmtId="0" fontId="63" fillId="0" borderId="66" xfId="0" applyFont="1" applyBorder="1" applyAlignment="1">
      <alignment vertical="top" wrapText="1"/>
    </xf>
    <xf numFmtId="0" fontId="63" fillId="0" borderId="67" xfId="0" applyFont="1" applyBorder="1" applyAlignment="1">
      <alignment vertical="top" wrapText="1"/>
    </xf>
    <xf numFmtId="0" fontId="66" fillId="0" borderId="51" xfId="0" applyFont="1" applyBorder="1" applyAlignment="1">
      <alignment horizontal="center" vertical="center"/>
    </xf>
    <xf numFmtId="0" fontId="62" fillId="0" borderId="51" xfId="0" applyFont="1" applyBorder="1" applyAlignment="1">
      <alignment vertical="top"/>
    </xf>
    <xf numFmtId="0" fontId="7" fillId="0" borderId="0" xfId="0" applyFont="1" applyAlignment="1">
      <alignment horizontal="center"/>
    </xf>
    <xf numFmtId="0" fontId="7" fillId="0" borderId="0" xfId="0" applyFont="1"/>
    <xf numFmtId="0" fontId="5" fillId="0" borderId="51" xfId="0" applyFont="1" applyBorder="1" applyAlignment="1">
      <alignment horizontal="center" vertical="center"/>
    </xf>
    <xf numFmtId="0" fontId="7" fillId="0" borderId="51" xfId="0" applyFont="1" applyBorder="1" applyAlignment="1">
      <alignment vertical="top"/>
    </xf>
    <xf numFmtId="0" fontId="5" fillId="0" borderId="63" xfId="0" applyFont="1" applyBorder="1" applyAlignment="1">
      <alignment horizontal="center" vertical="center"/>
    </xf>
    <xf numFmtId="0" fontId="57" fillId="0" borderId="63" xfId="0" applyFont="1" applyBorder="1" applyAlignment="1">
      <alignment vertical="top" wrapText="1"/>
    </xf>
    <xf numFmtId="0" fontId="7" fillId="0" borderId="63" xfId="0" applyFont="1" applyBorder="1" applyAlignment="1">
      <alignment vertical="top"/>
    </xf>
    <xf numFmtId="0" fontId="58" fillId="0" borderId="68" xfId="0" applyFont="1" applyBorder="1" applyAlignment="1">
      <alignment horizontal="left" vertical="top" wrapText="1"/>
    </xf>
    <xf numFmtId="0" fontId="58" fillId="0" borderId="66" xfId="0" applyFont="1" applyBorder="1" applyAlignment="1">
      <alignment horizontal="left" vertical="top" wrapText="1"/>
    </xf>
    <xf numFmtId="0" fontId="58" fillId="0" borderId="60" xfId="0" applyFont="1" applyBorder="1" applyAlignment="1">
      <alignment vertical="top" wrapText="1"/>
    </xf>
    <xf numFmtId="0" fontId="58" fillId="0" borderId="62" xfId="0" applyFont="1" applyBorder="1" applyAlignment="1">
      <alignment horizontal="left" vertical="top" wrapText="1"/>
    </xf>
    <xf numFmtId="0" fontId="58" fillId="0" borderId="63" xfId="0" applyFont="1" applyBorder="1" applyAlignment="1">
      <alignment vertical="top" wrapText="1"/>
    </xf>
    <xf numFmtId="0" fontId="5" fillId="0" borderId="4" xfId="0" applyFont="1" applyBorder="1" applyAlignment="1">
      <alignment horizontal="center" vertical="center"/>
    </xf>
    <xf numFmtId="0" fontId="58" fillId="0" borderId="1" xfId="0" applyFont="1" applyBorder="1" applyAlignment="1">
      <alignment vertical="top" wrapText="1"/>
    </xf>
    <xf numFmtId="0" fontId="49" fillId="0" borderId="1" xfId="0" applyFont="1" applyBorder="1" applyAlignment="1">
      <alignment vertical="top" wrapText="1"/>
    </xf>
    <xf numFmtId="0" fontId="7" fillId="0" borderId="1" xfId="0" applyFont="1" applyBorder="1" applyAlignment="1">
      <alignment vertical="top"/>
    </xf>
    <xf numFmtId="0" fontId="65" fillId="14" borderId="70" xfId="0" applyFont="1" applyFill="1" applyBorder="1" applyAlignment="1">
      <alignment vertical="center" wrapText="1"/>
    </xf>
    <xf numFmtId="0" fontId="65" fillId="14" borderId="71" xfId="0" applyFont="1" applyFill="1" applyBorder="1" applyAlignment="1">
      <alignment vertical="center" wrapText="1"/>
    </xf>
    <xf numFmtId="0" fontId="65" fillId="14" borderId="72" xfId="0" applyFont="1" applyFill="1" applyBorder="1" applyAlignment="1">
      <alignment horizontal="center" vertical="center" wrapText="1"/>
    </xf>
    <xf numFmtId="0" fontId="65" fillId="14" borderId="72" xfId="0" applyFont="1" applyFill="1" applyBorder="1" applyAlignment="1">
      <alignment vertical="center" wrapText="1"/>
    </xf>
    <xf numFmtId="0" fontId="59" fillId="0" borderId="54" xfId="0" applyFont="1" applyBorder="1" applyAlignment="1">
      <alignment horizontal="center" vertical="center" wrapText="1"/>
    </xf>
    <xf numFmtId="0" fontId="68" fillId="0" borderId="53" xfId="0" applyFont="1" applyBorder="1" applyAlignment="1">
      <alignment vertical="top" wrapText="1"/>
    </xf>
    <xf numFmtId="0" fontId="68" fillId="0" borderId="51" xfId="0" applyFont="1" applyBorder="1" applyAlignment="1">
      <alignment vertical="top" wrapText="1"/>
    </xf>
    <xf numFmtId="0" fontId="68" fillId="0" borderId="54" xfId="0" applyFont="1" applyBorder="1" applyAlignment="1">
      <alignment vertical="top" wrapText="1"/>
    </xf>
    <xf numFmtId="0" fontId="67" fillId="0" borderId="0" xfId="0" applyFont="1"/>
    <xf numFmtId="0" fontId="61" fillId="0" borderId="0" xfId="0" applyFont="1" applyAlignment="1"/>
    <xf numFmtId="0" fontId="68" fillId="0" borderId="53" xfId="0" applyFont="1" applyFill="1" applyBorder="1" applyAlignment="1">
      <alignment vertical="top" wrapText="1"/>
    </xf>
    <xf numFmtId="0" fontId="68" fillId="0" borderId="51" xfId="0" applyFont="1" applyFill="1" applyBorder="1" applyAlignment="1">
      <alignment vertical="top" wrapText="1"/>
    </xf>
    <xf numFmtId="0" fontId="68" fillId="0" borderId="54" xfId="0" applyFont="1" applyFill="1" applyBorder="1" applyAlignment="1">
      <alignment vertical="top" wrapText="1"/>
    </xf>
    <xf numFmtId="0" fontId="67" fillId="0" borderId="0" xfId="0" applyFont="1" applyFill="1"/>
    <xf numFmtId="0" fontId="61" fillId="0" borderId="0" xfId="0" applyFont="1" applyFill="1" applyAlignment="1"/>
    <xf numFmtId="0" fontId="68" fillId="0" borderId="61" xfId="0" applyFont="1" applyBorder="1" applyAlignment="1">
      <alignment vertical="top" wrapText="1"/>
    </xf>
    <xf numFmtId="0" fontId="68" fillId="0" borderId="63" xfId="0" applyFont="1" applyBorder="1" applyAlignment="1">
      <alignment vertical="top" wrapText="1"/>
    </xf>
    <xf numFmtId="0" fontId="68" fillId="0" borderId="64" xfId="0" applyFont="1" applyBorder="1" applyAlignment="1">
      <alignment vertical="top" wrapText="1"/>
    </xf>
    <xf numFmtId="0" fontId="68" fillId="0" borderId="65" xfId="0" applyFont="1" applyBorder="1" applyAlignment="1">
      <alignment vertical="top" wrapText="1"/>
    </xf>
    <xf numFmtId="0" fontId="68" fillId="0" borderId="66" xfId="0" applyFont="1" applyBorder="1" applyAlignment="1">
      <alignment vertical="top" wrapText="1"/>
    </xf>
    <xf numFmtId="0" fontId="68" fillId="0" borderId="67" xfId="0" applyFont="1" applyBorder="1" applyAlignment="1">
      <alignment vertical="top" wrapText="1"/>
    </xf>
    <xf numFmtId="0" fontId="68" fillId="0" borderId="56" xfId="0" applyFont="1" applyFill="1" applyBorder="1" applyAlignment="1">
      <alignment vertical="top" wrapText="1"/>
    </xf>
    <xf numFmtId="0" fontId="68" fillId="0" borderId="57" xfId="0" applyFont="1" applyFill="1" applyBorder="1" applyAlignment="1">
      <alignment vertical="top" wrapText="1"/>
    </xf>
    <xf numFmtId="0" fontId="68" fillId="0" borderId="58" xfId="0" applyFont="1" applyFill="1" applyBorder="1" applyAlignment="1">
      <alignment vertical="top" wrapText="1"/>
    </xf>
    <xf numFmtId="0" fontId="67" fillId="0" borderId="0" xfId="0" applyFont="1" applyAlignment="1">
      <alignment horizontal="center"/>
    </xf>
    <xf numFmtId="0" fontId="67" fillId="0" borderId="0" xfId="0" applyFont="1" applyFill="1" applyAlignment="1">
      <alignment horizontal="center"/>
    </xf>
    <xf numFmtId="0" fontId="67" fillId="0" borderId="1" xfId="0" applyFont="1" applyBorder="1" applyAlignment="1">
      <alignment vertical="top"/>
    </xf>
    <xf numFmtId="0" fontId="59" fillId="0" borderId="4" xfId="0" applyFont="1" applyBorder="1" applyAlignment="1">
      <alignment horizontal="center" vertical="center"/>
    </xf>
    <xf numFmtId="0" fontId="69" fillId="14" borderId="70" xfId="0" applyFont="1" applyFill="1" applyBorder="1" applyAlignment="1">
      <alignment vertical="center" wrapText="1"/>
    </xf>
    <xf numFmtId="0" fontId="69" fillId="14" borderId="72" xfId="0" applyFont="1" applyFill="1" applyBorder="1" applyAlignment="1">
      <alignment horizontal="center" vertical="center" wrapText="1"/>
    </xf>
    <xf numFmtId="0" fontId="69" fillId="14" borderId="72" xfId="0" applyFont="1" applyFill="1" applyBorder="1" applyAlignment="1">
      <alignment vertical="center" wrapText="1"/>
    </xf>
    <xf numFmtId="0" fontId="30" fillId="14" borderId="71" xfId="0" applyFont="1" applyFill="1" applyBorder="1" applyAlignment="1">
      <alignment vertical="center" wrapText="1"/>
    </xf>
    <xf numFmtId="0" fontId="70" fillId="0" borderId="0" xfId="4" applyFont="1" applyAlignment="1">
      <alignment horizontal="right"/>
    </xf>
    <xf numFmtId="0" fontId="71" fillId="0" borderId="0" xfId="4" applyFont="1" applyAlignment="1">
      <alignment horizontal="right" vertical="top"/>
    </xf>
    <xf numFmtId="14" fontId="57" fillId="0" borderId="51" xfId="0" applyNumberFormat="1" applyFont="1" applyBorder="1" applyAlignment="1">
      <alignment vertical="top" wrapText="1"/>
    </xf>
    <xf numFmtId="0" fontId="51" fillId="0" borderId="51" xfId="12" applyFont="1" applyBorder="1" applyAlignment="1">
      <alignment vertical="top" wrapText="1"/>
    </xf>
    <xf numFmtId="0" fontId="57" fillId="0" borderId="54" xfId="0" applyFont="1" applyBorder="1" applyAlignment="1">
      <alignment horizontal="center" vertical="center" wrapText="1"/>
    </xf>
    <xf numFmtId="0" fontId="57" fillId="0" borderId="51" xfId="0" applyFont="1" applyFill="1" applyBorder="1" applyAlignment="1">
      <alignment vertical="top" wrapText="1"/>
    </xf>
    <xf numFmtId="0" fontId="58" fillId="0" borderId="60" xfId="0" applyFont="1" applyFill="1" applyBorder="1" applyAlignment="1">
      <alignment horizontal="left" vertical="top" wrapText="1"/>
    </xf>
    <xf numFmtId="14" fontId="57" fillId="0" borderId="51" xfId="0" applyNumberFormat="1" applyFont="1" applyFill="1" applyBorder="1" applyAlignment="1">
      <alignment vertical="top" wrapText="1"/>
    </xf>
    <xf numFmtId="0" fontId="57" fillId="0" borderId="54" xfId="0" applyFont="1" applyFill="1" applyBorder="1" applyAlignment="1">
      <alignment horizontal="center" vertical="center" wrapText="1"/>
    </xf>
    <xf numFmtId="0" fontId="58" fillId="15" borderId="51" xfId="0" applyFont="1" applyFill="1" applyBorder="1" applyAlignment="1">
      <alignment horizontal="left" vertical="top" wrapText="1"/>
    </xf>
    <xf numFmtId="14" fontId="57" fillId="15" borderId="51" xfId="0" applyNumberFormat="1" applyFont="1" applyFill="1" applyBorder="1" applyAlignment="1">
      <alignment vertical="top" wrapText="1"/>
    </xf>
    <xf numFmtId="0" fontId="58" fillId="15" borderId="51" xfId="0" applyFont="1" applyFill="1" applyBorder="1" applyAlignment="1">
      <alignment vertical="top" wrapText="1"/>
    </xf>
    <xf numFmtId="0" fontId="72" fillId="0" borderId="51" xfId="0" applyFont="1" applyBorder="1" applyAlignment="1">
      <alignment horizontal="center" vertical="center"/>
    </xf>
    <xf numFmtId="0" fontId="72" fillId="0" borderId="54" xfId="0" applyFont="1" applyBorder="1" applyAlignment="1">
      <alignment horizontal="center" vertical="center"/>
    </xf>
    <xf numFmtId="0" fontId="1" fillId="0" borderId="51" xfId="0" applyFont="1" applyBorder="1" applyAlignment="1">
      <alignment vertical="top"/>
    </xf>
    <xf numFmtId="0" fontId="64" fillId="0" borderId="51" xfId="0" applyFont="1" applyBorder="1" applyAlignment="1">
      <alignment horizontal="center" vertical="center"/>
    </xf>
    <xf numFmtId="0" fontId="64" fillId="0" borderId="54" xfId="0" applyFont="1" applyBorder="1" applyAlignment="1">
      <alignment horizontal="center" vertical="center"/>
    </xf>
    <xf numFmtId="0" fontId="64" fillId="0" borderId="63" xfId="0" applyFont="1" applyBorder="1" applyAlignment="1">
      <alignment horizontal="center" vertical="center"/>
    </xf>
    <xf numFmtId="0" fontId="64" fillId="0" borderId="64" xfId="0" applyFont="1" applyBorder="1" applyAlignment="1">
      <alignment horizontal="center" vertical="center"/>
    </xf>
    <xf numFmtId="0" fontId="64" fillId="0" borderId="62" xfId="0" applyFont="1" applyBorder="1" applyAlignment="1">
      <alignment horizontal="center" vertical="center"/>
    </xf>
    <xf numFmtId="0" fontId="58" fillId="0" borderId="69" xfId="0" applyFont="1" applyBorder="1" applyAlignment="1">
      <alignment vertical="top" wrapText="1"/>
    </xf>
    <xf numFmtId="0" fontId="57" fillId="0" borderId="60" xfId="0" applyFont="1" applyBorder="1" applyAlignment="1">
      <alignment horizontal="center" vertical="center" wrapText="1"/>
    </xf>
    <xf numFmtId="0" fontId="57" fillId="0" borderId="60" xfId="0" applyFont="1" applyBorder="1" applyAlignment="1">
      <alignment horizontal="left" vertical="top" wrapText="1"/>
    </xf>
    <xf numFmtId="0" fontId="51" fillId="0" borderId="51" xfId="12" applyBorder="1" applyAlignment="1">
      <alignment vertical="top" wrapText="1"/>
    </xf>
    <xf numFmtId="0" fontId="57" fillId="0" borderId="55" xfId="0" applyFont="1" applyBorder="1" applyAlignment="1">
      <alignment horizontal="left" vertical="top" wrapText="1"/>
    </xf>
    <xf numFmtId="0" fontId="57" fillId="0" borderId="53" xfId="0" applyFont="1" applyBorder="1" applyAlignment="1">
      <alignment horizontal="center" vertical="center" wrapText="1"/>
    </xf>
    <xf numFmtId="0" fontId="57" fillId="0" borderId="60" xfId="0" applyFont="1" applyBorder="1" applyAlignment="1">
      <alignment horizontal="center" vertical="top" wrapText="1"/>
    </xf>
    <xf numFmtId="0" fontId="57" fillId="0" borderId="53" xfId="0" applyFont="1" applyFill="1" applyBorder="1" applyAlignment="1">
      <alignment horizontal="center" vertical="center" wrapText="1"/>
    </xf>
    <xf numFmtId="0" fontId="57" fillId="0" borderId="60" xfId="0" applyFont="1" applyFill="1" applyBorder="1" applyAlignment="1">
      <alignment horizontal="center" vertical="top" wrapText="1"/>
    </xf>
    <xf numFmtId="0" fontId="57" fillId="0" borderId="51" xfId="0" applyFont="1" applyFill="1" applyBorder="1" applyAlignment="1">
      <alignment horizontal="left" vertical="top" wrapText="1"/>
    </xf>
    <xf numFmtId="0" fontId="57" fillId="0" borderId="51" xfId="0" applyFont="1" applyBorder="1" applyAlignment="1">
      <alignment horizontal="center" vertical="top" wrapText="1"/>
    </xf>
    <xf numFmtId="0" fontId="57" fillId="0" borderId="51" xfId="0" applyFont="1" applyBorder="1" applyAlignment="1">
      <alignment horizontal="center" vertical="center"/>
    </xf>
    <xf numFmtId="0" fontId="64" fillId="0" borderId="51" xfId="0" applyFont="1" applyBorder="1" applyAlignment="1">
      <alignment vertical="top"/>
    </xf>
    <xf numFmtId="0" fontId="72" fillId="0" borderId="51" xfId="0" applyFont="1" applyBorder="1" applyAlignment="1">
      <alignment vertical="top"/>
    </xf>
    <xf numFmtId="0" fontId="57" fillId="0" borderId="51" xfId="0" applyFont="1" applyBorder="1" applyAlignment="1">
      <alignment vertical="top"/>
    </xf>
    <xf numFmtId="0" fontId="57" fillId="0" borderId="63" xfId="0" applyFont="1" applyBorder="1" applyAlignment="1">
      <alignment horizontal="center" vertical="center"/>
    </xf>
    <xf numFmtId="0" fontId="57" fillId="0" borderId="63" xfId="0" applyFont="1" applyBorder="1" applyAlignment="1">
      <alignment vertical="top"/>
    </xf>
    <xf numFmtId="0" fontId="57" fillId="0" borderId="68" xfId="0" applyFont="1" applyBorder="1" applyAlignment="1">
      <alignment horizontal="left" vertical="top" wrapText="1"/>
    </xf>
    <xf numFmtId="0" fontId="57" fillId="0" borderId="66" xfId="0" applyFont="1" applyBorder="1" applyAlignment="1">
      <alignment horizontal="left" vertical="top" wrapText="1"/>
    </xf>
    <xf numFmtId="0" fontId="57" fillId="0" borderId="63" xfId="0" applyFont="1" applyBorder="1" applyAlignment="1">
      <alignment horizontal="left" vertical="top" wrapText="1"/>
    </xf>
    <xf numFmtId="0" fontId="57" fillId="0" borderId="62" xfId="0" applyFont="1" applyBorder="1" applyAlignment="1">
      <alignment horizontal="left" vertical="top" wrapText="1"/>
    </xf>
    <xf numFmtId="0" fontId="64" fillId="0" borderId="63" xfId="0" applyFont="1" applyBorder="1" applyAlignment="1">
      <alignment vertical="top"/>
    </xf>
    <xf numFmtId="0" fontId="57" fillId="0" borderId="69" xfId="0" applyFont="1" applyBorder="1" applyAlignment="1">
      <alignment vertical="top" wrapText="1"/>
    </xf>
    <xf numFmtId="0" fontId="30" fillId="5" borderId="23" xfId="0" applyFont="1" applyFill="1" applyBorder="1" applyAlignment="1" applyProtection="1">
      <alignment horizontal="center" vertical="center" wrapText="1"/>
    </xf>
    <xf numFmtId="0" fontId="5" fillId="15" borderId="51" xfId="0" applyFont="1" applyFill="1" applyBorder="1" applyAlignment="1">
      <alignment horizontal="center" vertical="center"/>
    </xf>
    <xf numFmtId="0" fontId="58" fillId="15" borderId="51" xfId="0" applyFont="1" applyFill="1" applyBorder="1" applyAlignment="1">
      <alignment horizontal="center" vertical="top" wrapText="1"/>
    </xf>
    <xf numFmtId="0" fontId="64" fillId="15" borderId="51" xfId="0" applyFont="1" applyFill="1" applyBorder="1" applyAlignment="1">
      <alignment horizontal="center" vertical="center"/>
    </xf>
    <xf numFmtId="0" fontId="64" fillId="15" borderId="54" xfId="0" applyFont="1" applyFill="1" applyBorder="1" applyAlignment="1">
      <alignment horizontal="center" vertical="center"/>
    </xf>
    <xf numFmtId="0" fontId="73" fillId="0" borderId="60" xfId="0" applyFont="1" applyFill="1" applyBorder="1" applyAlignment="1">
      <alignment vertical="top" wrapText="1"/>
    </xf>
    <xf numFmtId="0" fontId="57" fillId="0" borderId="61" xfId="0" applyFont="1" applyFill="1" applyBorder="1" applyAlignment="1">
      <alignment horizontal="center" vertical="center" wrapText="1"/>
    </xf>
    <xf numFmtId="0" fontId="57" fillId="0" borderId="62" xfId="0" applyFont="1" applyFill="1" applyBorder="1" applyAlignment="1">
      <alignment horizontal="center" vertical="top" wrapText="1"/>
    </xf>
    <xf numFmtId="0" fontId="57" fillId="0" borderId="63" xfId="0" applyFont="1" applyFill="1" applyBorder="1" applyAlignment="1">
      <alignment horizontal="left" vertical="top" wrapText="1"/>
    </xf>
    <xf numFmtId="0" fontId="57" fillId="0" borderId="64" xfId="0" applyFont="1" applyFill="1" applyBorder="1" applyAlignment="1">
      <alignment horizontal="center" vertical="center" wrapText="1"/>
    </xf>
    <xf numFmtId="0" fontId="64" fillId="0" borderId="60" xfId="0" applyFont="1" applyBorder="1" applyAlignment="1">
      <alignment vertical="top"/>
    </xf>
    <xf numFmtId="0" fontId="57" fillId="0" borderId="51" xfId="0" applyFont="1" applyFill="1" applyBorder="1" applyAlignment="1">
      <alignment horizontal="center" vertical="center"/>
    </xf>
    <xf numFmtId="0" fontId="72" fillId="0" borderId="51" xfId="0" applyFont="1" applyFill="1" applyBorder="1" applyAlignment="1">
      <alignment horizontal="center" vertical="center"/>
    </xf>
    <xf numFmtId="0" fontId="72" fillId="0" borderId="54" xfId="0" applyFont="1" applyFill="1" applyBorder="1" applyAlignment="1">
      <alignment horizontal="center" vertical="center"/>
    </xf>
    <xf numFmtId="0" fontId="72" fillId="0" borderId="51" xfId="0" applyFont="1" applyFill="1" applyBorder="1" applyAlignment="1">
      <alignment vertical="top"/>
    </xf>
    <xf numFmtId="0" fontId="57" fillId="0" borderId="51" xfId="0" applyFont="1" applyFill="1" applyBorder="1" applyAlignment="1">
      <alignment vertical="top"/>
    </xf>
    <xf numFmtId="0" fontId="64" fillId="0" borderId="51" xfId="0" applyFont="1" applyFill="1" applyBorder="1" applyAlignment="1">
      <alignment horizontal="center" vertical="center"/>
    </xf>
    <xf numFmtId="0" fontId="64" fillId="0" borderId="54" xfId="0" applyFont="1" applyFill="1" applyBorder="1" applyAlignment="1">
      <alignment horizontal="center" vertical="center"/>
    </xf>
    <xf numFmtId="0" fontId="64" fillId="0" borderId="51" xfId="0" applyFont="1" applyFill="1" applyBorder="1" applyAlignment="1">
      <alignment vertical="top"/>
    </xf>
    <xf numFmtId="0" fontId="57" fillId="0" borderId="63" xfId="0" applyFont="1" applyFill="1" applyBorder="1" applyAlignment="1">
      <alignment horizontal="center" vertical="center"/>
    </xf>
    <xf numFmtId="0" fontId="57" fillId="0" borderId="63" xfId="0" applyFont="1" applyFill="1" applyBorder="1" applyAlignment="1">
      <alignment vertical="top"/>
    </xf>
    <xf numFmtId="0" fontId="64" fillId="0" borderId="63" xfId="0" applyFont="1" applyFill="1" applyBorder="1" applyAlignment="1">
      <alignment horizontal="center" vertical="center"/>
    </xf>
    <xf numFmtId="0" fontId="64" fillId="0" borderId="64" xfId="0" applyFont="1" applyFill="1" applyBorder="1" applyAlignment="1">
      <alignment horizontal="center" vertical="center"/>
    </xf>
    <xf numFmtId="0" fontId="57" fillId="0" borderId="64" xfId="0" applyFont="1" applyBorder="1" applyAlignment="1">
      <alignment vertical="top" wrapText="1"/>
    </xf>
    <xf numFmtId="14" fontId="57" fillId="0" borderId="60" xfId="0" applyNumberFormat="1" applyFont="1" applyBorder="1" applyAlignment="1">
      <alignment vertical="top" wrapText="1"/>
    </xf>
    <xf numFmtId="0" fontId="57" fillId="0" borderId="1" xfId="0" applyFont="1" applyBorder="1" applyAlignment="1">
      <alignment horizontal="left" vertical="top" wrapText="1"/>
    </xf>
    <xf numFmtId="0" fontId="57" fillId="0" borderId="1" xfId="0" applyFont="1" applyBorder="1" applyAlignment="1">
      <alignment vertical="top"/>
    </xf>
    <xf numFmtId="0" fontId="57" fillId="0" borderId="64" xfId="0" applyFont="1" applyBorder="1" applyAlignment="1">
      <alignment horizontal="left" vertical="top" wrapText="1"/>
    </xf>
    <xf numFmtId="0" fontId="57" fillId="0" borderId="14" xfId="0" applyFont="1" applyBorder="1" applyAlignment="1">
      <alignment vertical="top"/>
    </xf>
    <xf numFmtId="0" fontId="64" fillId="0" borderId="66" xfId="0" applyFont="1" applyBorder="1" applyAlignment="1">
      <alignment horizontal="center" vertical="center"/>
    </xf>
    <xf numFmtId="0" fontId="64" fillId="0" borderId="67" xfId="0" applyFont="1" applyBorder="1" applyAlignment="1">
      <alignment horizontal="center" vertical="center"/>
    </xf>
    <xf numFmtId="0" fontId="64" fillId="0" borderId="1" xfId="0" applyFont="1" applyBorder="1" applyAlignment="1">
      <alignment horizontal="center" vertical="center"/>
    </xf>
    <xf numFmtId="0" fontId="57" fillId="0" borderId="4" xfId="0" applyFont="1" applyBorder="1" applyAlignment="1">
      <alignment vertical="top"/>
    </xf>
    <xf numFmtId="0" fontId="64" fillId="0" borderId="55" xfId="0" applyFont="1" applyBorder="1" applyAlignment="1">
      <alignment horizontal="center" vertical="center"/>
    </xf>
    <xf numFmtId="0" fontId="64" fillId="0" borderId="74" xfId="0" applyFont="1" applyBorder="1" applyAlignment="1">
      <alignment vertical="top"/>
    </xf>
    <xf numFmtId="0" fontId="5" fillId="0" borderId="66" xfId="0" applyFont="1" applyBorder="1" applyAlignment="1">
      <alignment horizontal="center" vertical="center"/>
    </xf>
    <xf numFmtId="0" fontId="57" fillId="0" borderId="66" xfId="0" applyFont="1" applyBorder="1" applyAlignment="1">
      <alignment vertical="top" wrapText="1"/>
    </xf>
    <xf numFmtId="0" fontId="58" fillId="0" borderId="55" xfId="0" applyFont="1" applyBorder="1" applyAlignment="1">
      <alignment vertical="top" wrapText="1"/>
    </xf>
    <xf numFmtId="0" fontId="5" fillId="0" borderId="1" xfId="0" applyFont="1" applyBorder="1" applyAlignment="1">
      <alignment horizontal="center" vertical="center"/>
    </xf>
    <xf numFmtId="0" fontId="58" fillId="0" borderId="1" xfId="0" applyFont="1" applyBorder="1" applyAlignment="1">
      <alignment horizontal="left" vertical="top" wrapText="1"/>
    </xf>
    <xf numFmtId="0" fontId="57" fillId="0" borderId="14" xfId="0" applyFont="1" applyBorder="1" applyAlignment="1">
      <alignment vertical="top" wrapText="1"/>
    </xf>
    <xf numFmtId="0" fontId="7" fillId="0" borderId="14" xfId="0" applyFont="1" applyBorder="1" applyAlignment="1">
      <alignment vertical="top"/>
    </xf>
    <xf numFmtId="0" fontId="64" fillId="0" borderId="14" xfId="0" applyFont="1" applyBorder="1" applyAlignment="1">
      <alignment horizontal="center" vertical="center"/>
    </xf>
    <xf numFmtId="0" fontId="57" fillId="0" borderId="60" xfId="0" applyFont="1" applyFill="1" applyBorder="1" applyAlignment="1">
      <alignment vertical="top" wrapText="1"/>
    </xf>
    <xf numFmtId="0" fontId="58" fillId="0" borderId="61" xfId="0" applyFont="1" applyFill="1" applyBorder="1" applyAlignment="1">
      <alignment horizontal="center" vertical="center" wrapText="1"/>
    </xf>
    <xf numFmtId="0" fontId="58" fillId="0" borderId="62" xfId="0" applyFont="1" applyFill="1" applyBorder="1" applyAlignment="1">
      <alignment horizontal="center" vertical="top" wrapText="1"/>
    </xf>
    <xf numFmtId="0" fontId="63" fillId="0" borderId="65" xfId="0" applyFont="1" applyFill="1" applyBorder="1" applyAlignment="1">
      <alignment vertical="top" wrapText="1"/>
    </xf>
    <xf numFmtId="0" fontId="63" fillId="0" borderId="66" xfId="0" applyFont="1" applyFill="1" applyBorder="1" applyAlignment="1">
      <alignment vertical="top" wrapText="1"/>
    </xf>
    <xf numFmtId="0" fontId="63" fillId="0" borderId="67" xfId="0" applyFont="1" applyFill="1" applyBorder="1" applyAlignment="1">
      <alignment vertical="top" wrapText="1"/>
    </xf>
    <xf numFmtId="0" fontId="66" fillId="0" borderId="51" xfId="0" applyFont="1" applyFill="1" applyBorder="1" applyAlignment="1">
      <alignment horizontal="center" vertical="center"/>
    </xf>
    <xf numFmtId="0" fontId="62" fillId="0" borderId="51" xfId="0" applyFont="1" applyFill="1" applyBorder="1" applyAlignment="1">
      <alignment vertical="top"/>
    </xf>
    <xf numFmtId="0" fontId="7" fillId="0" borderId="51" xfId="0" applyFont="1" applyFill="1" applyBorder="1" applyAlignment="1">
      <alignment vertical="top"/>
    </xf>
    <xf numFmtId="0" fontId="7" fillId="0" borderId="0" xfId="0" applyFont="1" applyFill="1" applyAlignment="1">
      <alignment horizontal="center"/>
    </xf>
    <xf numFmtId="0" fontId="7" fillId="0" borderId="0" xfId="0" applyFont="1" applyFill="1"/>
    <xf numFmtId="0" fontId="5" fillId="0" borderId="63" xfId="0" applyFont="1" applyFill="1" applyBorder="1" applyAlignment="1">
      <alignment horizontal="center" vertical="center"/>
    </xf>
    <xf numFmtId="0" fontId="57" fillId="0" borderId="63" xfId="0" applyFont="1" applyFill="1" applyBorder="1" applyAlignment="1">
      <alignment vertical="top" wrapText="1"/>
    </xf>
    <xf numFmtId="0" fontId="58" fillId="0" borderId="63" xfId="0" applyFont="1" applyFill="1" applyBorder="1" applyAlignment="1">
      <alignment vertical="top" wrapText="1"/>
    </xf>
    <xf numFmtId="0" fontId="58" fillId="0" borderId="64" xfId="0" applyFont="1" applyFill="1" applyBorder="1" applyAlignment="1">
      <alignment horizontal="left" vertical="top" wrapText="1"/>
    </xf>
    <xf numFmtId="0" fontId="64" fillId="0" borderId="62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57" fillId="0" borderId="14" xfId="0" applyFont="1" applyFill="1" applyBorder="1" applyAlignment="1">
      <alignment vertical="top" wrapText="1"/>
    </xf>
    <xf numFmtId="0" fontId="58" fillId="0" borderId="63" xfId="0" applyFont="1" applyFill="1" applyBorder="1" applyAlignment="1">
      <alignment horizontal="left" vertical="top" wrapText="1"/>
    </xf>
    <xf numFmtId="0" fontId="58" fillId="0" borderId="67" xfId="0" applyFont="1" applyFill="1" applyBorder="1" applyAlignment="1">
      <alignment vertical="top" wrapText="1"/>
    </xf>
    <xf numFmtId="0" fontId="64" fillId="0" borderId="1" xfId="0" applyFont="1" applyFill="1" applyBorder="1" applyAlignment="1">
      <alignment horizontal="center" vertical="center"/>
    </xf>
    <xf numFmtId="0" fontId="57" fillId="0" borderId="64" xfId="0" applyFont="1" applyFill="1" applyBorder="1" applyAlignment="1">
      <alignment vertical="top" wrapText="1"/>
    </xf>
    <xf numFmtId="14" fontId="57" fillId="0" borderId="73" xfId="0" applyNumberFormat="1" applyFont="1" applyFill="1" applyBorder="1" applyAlignment="1">
      <alignment vertical="top" wrapText="1"/>
    </xf>
    <xf numFmtId="0" fontId="57" fillId="0" borderId="1" xfId="0" applyFont="1" applyFill="1" applyBorder="1" applyAlignment="1">
      <alignment vertical="top" wrapText="1"/>
    </xf>
    <xf numFmtId="0" fontId="57" fillId="0" borderId="1" xfId="0" applyFont="1" applyFill="1" applyBorder="1" applyAlignment="1">
      <alignment vertical="top"/>
    </xf>
    <xf numFmtId="0" fontId="64" fillId="0" borderId="1" xfId="0" applyFont="1" applyFill="1" applyBorder="1" applyAlignment="1">
      <alignment vertical="top"/>
    </xf>
    <xf numFmtId="14" fontId="57" fillId="0" borderId="60" xfId="0" applyNumberFormat="1" applyFont="1" applyFill="1" applyBorder="1" applyAlignment="1">
      <alignment vertical="top" wrapText="1"/>
    </xf>
    <xf numFmtId="0" fontId="57" fillId="0" borderId="0" xfId="0" applyFont="1" applyFill="1" applyBorder="1" applyAlignment="1">
      <alignment vertical="top"/>
    </xf>
    <xf numFmtId="0" fontId="64" fillId="0" borderId="74" xfId="0" applyFont="1" applyFill="1" applyBorder="1" applyAlignment="1">
      <alignment vertical="top"/>
    </xf>
    <xf numFmtId="0" fontId="5" fillId="0" borderId="51" xfId="0" applyFont="1" applyFill="1" applyBorder="1" applyAlignment="1">
      <alignment horizontal="center" vertical="center"/>
    </xf>
    <xf numFmtId="0" fontId="63" fillId="0" borderId="56" xfId="0" applyFont="1" applyFill="1" applyBorder="1" applyAlignment="1">
      <alignment vertical="top" wrapText="1"/>
    </xf>
    <xf numFmtId="0" fontId="63" fillId="0" borderId="57" xfId="0" applyFont="1" applyFill="1" applyBorder="1" applyAlignment="1">
      <alignment vertical="top" wrapText="1"/>
    </xf>
    <xf numFmtId="0" fontId="63" fillId="0" borderId="58" xfId="0" applyFont="1" applyFill="1" applyBorder="1" applyAlignment="1">
      <alignment vertical="top" wrapText="1"/>
    </xf>
    <xf numFmtId="0" fontId="74" fillId="0" borderId="1" xfId="12" applyFont="1" applyBorder="1" applyAlignment="1">
      <alignment vertical="top"/>
    </xf>
    <xf numFmtId="0" fontId="74" fillId="0" borderId="1" xfId="12" applyFont="1" applyBorder="1"/>
    <xf numFmtId="49" fontId="11" fillId="0" borderId="1" xfId="0" applyNumberFormat="1" applyFont="1" applyBorder="1" applyAlignment="1" applyProtection="1">
      <alignment vertical="top" wrapText="1"/>
      <protection locked="0"/>
    </xf>
    <xf numFmtId="49" fontId="11" fillId="0" borderId="1" xfId="0" applyNumberFormat="1" applyFont="1" applyBorder="1" applyAlignment="1" applyProtection="1">
      <alignment horizontal="center" vertical="top" wrapText="1"/>
      <protection locked="0"/>
    </xf>
    <xf numFmtId="0" fontId="17" fillId="0" borderId="16" xfId="0" applyFont="1" applyFill="1" applyBorder="1" applyAlignment="1" applyProtection="1">
      <alignment horizontal="left" vertical="top" wrapText="1"/>
      <protection locked="0"/>
    </xf>
    <xf numFmtId="0" fontId="17" fillId="0" borderId="1" xfId="0" applyFont="1" applyFill="1" applyBorder="1" applyAlignment="1" applyProtection="1">
      <alignment vertical="top" wrapText="1"/>
      <protection locked="0"/>
    </xf>
    <xf numFmtId="0" fontId="17" fillId="0" borderId="16" xfId="0" applyFont="1" applyFill="1" applyBorder="1" applyAlignment="1" applyProtection="1">
      <alignment horizontal="center" vertical="center" wrapText="1"/>
      <protection locked="0"/>
    </xf>
    <xf numFmtId="0" fontId="17" fillId="0" borderId="3" xfId="0" applyFont="1" applyFill="1" applyBorder="1" applyAlignment="1" applyProtection="1">
      <alignment horizontal="center" vertical="center" wrapText="1"/>
      <protection locked="0"/>
    </xf>
    <xf numFmtId="0" fontId="17" fillId="0" borderId="1" xfId="0" applyFont="1" applyFill="1" applyBorder="1" applyAlignment="1" applyProtection="1">
      <alignment horizontal="left" vertical="top" wrapText="1"/>
      <protection locked="0"/>
    </xf>
    <xf numFmtId="0" fontId="17" fillId="0" borderId="26" xfId="0" applyFont="1" applyFill="1" applyBorder="1" applyAlignment="1" applyProtection="1">
      <alignment horizontal="left" vertical="top" wrapText="1"/>
      <protection locked="0"/>
    </xf>
    <xf numFmtId="0" fontId="17" fillId="0" borderId="14" xfId="0" applyFont="1" applyFill="1" applyBorder="1" applyAlignment="1" applyProtection="1">
      <alignment horizontal="left" vertical="top" wrapText="1"/>
      <protection locked="0"/>
    </xf>
    <xf numFmtId="0" fontId="30" fillId="5" borderId="23" xfId="0" applyFont="1" applyFill="1" applyBorder="1" applyAlignment="1" applyProtection="1">
      <alignment horizontal="center" vertical="center" wrapText="1"/>
    </xf>
    <xf numFmtId="0" fontId="14" fillId="0" borderId="50" xfId="0" applyFont="1" applyFill="1" applyBorder="1" applyAlignment="1" applyProtection="1">
      <alignment vertical="top" wrapText="1"/>
      <protection locked="0"/>
    </xf>
    <xf numFmtId="0" fontId="14" fillId="0" borderId="34" xfId="0" applyFont="1" applyFill="1" applyBorder="1" applyAlignment="1" applyProtection="1">
      <alignment vertical="top" wrapText="1"/>
      <protection locked="0"/>
    </xf>
    <xf numFmtId="0" fontId="14" fillId="0" borderId="44" xfId="0" applyFont="1" applyFill="1" applyBorder="1" applyAlignment="1" applyProtection="1">
      <alignment vertical="top" wrapText="1"/>
      <protection locked="0"/>
    </xf>
    <xf numFmtId="0" fontId="30" fillId="8" borderId="52" xfId="0" applyFont="1" applyFill="1" applyBorder="1" applyAlignment="1" applyProtection="1">
      <alignment vertical="center" wrapText="1"/>
    </xf>
    <xf numFmtId="0" fontId="30" fillId="8" borderId="45" xfId="0" applyFont="1" applyFill="1" applyBorder="1" applyAlignment="1" applyProtection="1">
      <alignment vertical="center" wrapText="1"/>
    </xf>
    <xf numFmtId="0" fontId="30" fillId="8" borderId="2" xfId="0" applyFont="1" applyFill="1" applyBorder="1" applyAlignment="1" applyProtection="1">
      <alignment horizontal="center" vertical="center" wrapText="1"/>
    </xf>
    <xf numFmtId="0" fontId="30" fillId="8" borderId="2" xfId="0" applyFont="1" applyFill="1" applyBorder="1" applyAlignment="1" applyProtection="1">
      <alignment vertical="center" wrapText="1"/>
    </xf>
    <xf numFmtId="0" fontId="17" fillId="0" borderId="1" xfId="0" applyFont="1" applyFill="1" applyBorder="1" applyAlignment="1" applyProtection="1">
      <alignment horizontal="center" wrapText="1"/>
      <protection locked="0"/>
    </xf>
    <xf numFmtId="0" fontId="51" fillId="0" borderId="1" xfId="12" applyFill="1" applyBorder="1" applyAlignment="1" applyProtection="1">
      <alignment vertical="top" wrapText="1"/>
      <protection locked="0"/>
    </xf>
    <xf numFmtId="0" fontId="1" fillId="0" borderId="75" xfId="0" applyFont="1" applyBorder="1" applyAlignment="1">
      <alignment wrapText="1"/>
    </xf>
    <xf numFmtId="0" fontId="65" fillId="14" borderId="58" xfId="0" applyFont="1" applyFill="1" applyBorder="1" applyAlignment="1">
      <alignment horizontal="center" vertical="center" wrapText="1"/>
    </xf>
    <xf numFmtId="0" fontId="62" fillId="0" borderId="1" xfId="0" applyFont="1" applyBorder="1"/>
    <xf numFmtId="0" fontId="58" fillId="0" borderId="75" xfId="0" applyFont="1" applyBorder="1" applyAlignment="1">
      <alignment horizontal="left" vertical="top" wrapText="1"/>
    </xf>
    <xf numFmtId="0" fontId="58" fillId="0" borderId="54" xfId="0" applyFont="1" applyFill="1" applyBorder="1" applyAlignment="1">
      <alignment horizontal="left" vertical="top" wrapText="1"/>
    </xf>
    <xf numFmtId="0" fontId="58" fillId="0" borderId="54" xfId="0" applyFont="1" applyBorder="1" applyAlignment="1">
      <alignment horizontal="left" vertical="top" wrapText="1"/>
    </xf>
    <xf numFmtId="0" fontId="1" fillId="0" borderId="54" xfId="0" applyFont="1" applyFill="1" applyBorder="1" applyAlignment="1">
      <alignment vertical="top"/>
    </xf>
    <xf numFmtId="0" fontId="1" fillId="0" borderId="54" xfId="0" applyFont="1" applyBorder="1" applyAlignment="1">
      <alignment vertical="top"/>
    </xf>
    <xf numFmtId="0" fontId="7" fillId="0" borderId="54" xfId="0" applyFont="1" applyFill="1" applyBorder="1" applyAlignment="1">
      <alignment vertical="top"/>
    </xf>
    <xf numFmtId="0" fontId="7" fillId="0" borderId="54" xfId="0" applyFont="1" applyBorder="1" applyAlignment="1">
      <alignment vertical="top"/>
    </xf>
    <xf numFmtId="0" fontId="7" fillId="0" borderId="64" xfId="0" applyFont="1" applyFill="1" applyBorder="1" applyAlignment="1">
      <alignment vertical="top"/>
    </xf>
    <xf numFmtId="0" fontId="7" fillId="0" borderId="19" xfId="0" applyFont="1" applyBorder="1" applyAlignment="1">
      <alignment vertical="top"/>
    </xf>
    <xf numFmtId="0" fontId="7" fillId="0" borderId="4" xfId="0" applyFont="1" applyFill="1" applyBorder="1" applyAlignment="1">
      <alignment vertical="top"/>
    </xf>
    <xf numFmtId="0" fontId="7" fillId="0" borderId="4" xfId="0" applyFont="1" applyBorder="1" applyAlignment="1">
      <alignment vertical="top"/>
    </xf>
    <xf numFmtId="0" fontId="7" fillId="0" borderId="75" xfId="0" applyFont="1" applyBorder="1" applyAlignment="1">
      <alignment vertical="top"/>
    </xf>
    <xf numFmtId="0" fontId="7" fillId="15" borderId="54" xfId="0" applyFont="1" applyFill="1" applyBorder="1" applyAlignment="1">
      <alignment vertical="top"/>
    </xf>
    <xf numFmtId="0" fontId="7" fillId="0" borderId="64" xfId="0" applyFont="1" applyBorder="1" applyAlignment="1">
      <alignment vertical="top"/>
    </xf>
    <xf numFmtId="0" fontId="65" fillId="14" borderId="71" xfId="0" applyFont="1" applyFill="1" applyBorder="1" applyAlignment="1">
      <alignment horizontal="center" vertical="center" wrapText="1"/>
    </xf>
    <xf numFmtId="0" fontId="62" fillId="0" borderId="1" xfId="0" applyFont="1" applyFill="1" applyBorder="1"/>
    <xf numFmtId="0" fontId="0" fillId="0" borderId="1" xfId="0" applyFont="1" applyFill="1" applyBorder="1" applyAlignment="1"/>
    <xf numFmtId="0" fontId="0" fillId="0" borderId="1" xfId="0" applyFont="1" applyBorder="1" applyAlignment="1"/>
    <xf numFmtId="0" fontId="7" fillId="0" borderId="1" xfId="0" applyFont="1" applyBorder="1"/>
    <xf numFmtId="0" fontId="7" fillId="0" borderId="1" xfId="0" applyFont="1" applyFill="1" applyBorder="1"/>
    <xf numFmtId="0" fontId="64" fillId="0" borderId="55" xfId="0" applyFont="1" applyBorder="1" applyAlignment="1">
      <alignment vertical="top" wrapText="1"/>
    </xf>
    <xf numFmtId="14" fontId="57" fillId="0" borderId="55" xfId="0" applyNumberFormat="1" applyFont="1" applyBorder="1" applyAlignment="1">
      <alignment horizontal="center" vertical="top" wrapText="1"/>
    </xf>
    <xf numFmtId="0" fontId="41" fillId="0" borderId="0" xfId="1" applyFont="1" applyAlignment="1">
      <alignment horizontal="left"/>
    </xf>
    <xf numFmtId="0" fontId="42" fillId="0" borderId="0" xfId="1" applyFont="1" applyAlignment="1">
      <alignment horizontal="left"/>
    </xf>
    <xf numFmtId="49" fontId="38" fillId="0" borderId="1" xfId="0" applyNumberFormat="1" applyFont="1" applyBorder="1" applyAlignment="1" applyProtection="1">
      <alignment horizontal="left" vertical="top"/>
    </xf>
    <xf numFmtId="49" fontId="38" fillId="0" borderId="4" xfId="0" quotePrefix="1" applyNumberFormat="1" applyFont="1" applyBorder="1" applyAlignment="1" applyProtection="1">
      <alignment horizontal="left" vertical="top"/>
    </xf>
    <xf numFmtId="49" fontId="38" fillId="0" borderId="16" xfId="0" applyNumberFormat="1" applyFont="1" applyBorder="1" applyAlignment="1" applyProtection="1">
      <alignment horizontal="left" vertical="top"/>
    </xf>
    <xf numFmtId="49" fontId="38" fillId="0" borderId="4" xfId="0" applyNumberFormat="1" applyFont="1" applyBorder="1" applyAlignment="1" applyProtection="1">
      <alignment horizontal="left" vertical="top"/>
    </xf>
    <xf numFmtId="0" fontId="44" fillId="0" borderId="27" xfId="0" applyFont="1" applyFill="1" applyBorder="1" applyAlignment="1" applyProtection="1">
      <alignment horizontal="left" vertical="center"/>
    </xf>
    <xf numFmtId="0" fontId="44" fillId="0" borderId="28" xfId="0" applyFont="1" applyFill="1" applyBorder="1" applyAlignment="1" applyProtection="1">
      <alignment horizontal="left" vertical="center"/>
    </xf>
    <xf numFmtId="0" fontId="44" fillId="0" borderId="29" xfId="0" applyFont="1" applyFill="1" applyBorder="1" applyAlignment="1" applyProtection="1">
      <alignment horizontal="left" vertical="center"/>
    </xf>
    <xf numFmtId="0" fontId="44" fillId="0" borderId="4" xfId="0" applyFont="1" applyFill="1" applyBorder="1" applyAlignment="1" applyProtection="1">
      <alignment horizontal="left" vertical="center"/>
    </xf>
    <xf numFmtId="0" fontId="44" fillId="0" borderId="15" xfId="0" applyFont="1" applyFill="1" applyBorder="1" applyAlignment="1" applyProtection="1">
      <alignment horizontal="left" vertical="center"/>
    </xf>
    <xf numFmtId="0" fontId="44" fillId="0" borderId="37" xfId="0" applyFont="1" applyFill="1" applyBorder="1" applyAlignment="1" applyProtection="1">
      <alignment horizontal="left" vertical="center"/>
    </xf>
    <xf numFmtId="0" fontId="43" fillId="0" borderId="4" xfId="0" applyFont="1" applyFill="1" applyBorder="1" applyAlignment="1" applyProtection="1">
      <alignment horizontal="left" vertical="center"/>
      <protection locked="0"/>
    </xf>
    <xf numFmtId="0" fontId="43" fillId="0" borderId="15" xfId="0" applyFont="1" applyFill="1" applyBorder="1" applyAlignment="1" applyProtection="1">
      <alignment horizontal="left" vertical="center"/>
      <protection locked="0"/>
    </xf>
    <xf numFmtId="0" fontId="43" fillId="0" borderId="37" xfId="0" applyFont="1" applyFill="1" applyBorder="1" applyAlignment="1" applyProtection="1">
      <alignment horizontal="left" vertical="center"/>
      <protection locked="0"/>
    </xf>
    <xf numFmtId="14" fontId="43" fillId="0" borderId="4" xfId="0" applyNumberFormat="1" applyFont="1" applyFill="1" applyBorder="1" applyAlignment="1" applyProtection="1">
      <alignment horizontal="left" vertical="center"/>
      <protection locked="0"/>
    </xf>
    <xf numFmtId="0" fontId="19" fillId="0" borderId="19" xfId="0" applyFont="1" applyFill="1" applyBorder="1" applyAlignment="1" applyProtection="1">
      <alignment horizontal="left" vertical="top" wrapText="1"/>
    </xf>
    <xf numFmtId="0" fontId="19" fillId="0" borderId="30" xfId="0" applyFont="1" applyFill="1" applyBorder="1" applyAlignment="1" applyProtection="1">
      <alignment horizontal="left" vertical="top" wrapText="1"/>
    </xf>
    <xf numFmtId="0" fontId="19" fillId="0" borderId="31" xfId="0" applyFont="1" applyFill="1" applyBorder="1" applyAlignment="1" applyProtection="1">
      <alignment horizontal="left" vertical="top" wrapText="1"/>
    </xf>
    <xf numFmtId="0" fontId="19" fillId="0" borderId="45" xfId="0" applyFont="1" applyFill="1" applyBorder="1" applyAlignment="1" applyProtection="1">
      <alignment horizontal="left" vertical="top" wrapText="1"/>
    </xf>
    <xf numFmtId="0" fontId="19" fillId="0" borderId="13" xfId="0" applyFont="1" applyFill="1" applyBorder="1" applyAlignment="1" applyProtection="1">
      <alignment horizontal="left" vertical="top" wrapText="1"/>
    </xf>
    <xf numFmtId="0" fontId="19" fillId="0" borderId="40" xfId="0" applyFont="1" applyFill="1" applyBorder="1" applyAlignment="1" applyProtection="1">
      <alignment horizontal="left" vertical="top" wrapText="1"/>
    </xf>
    <xf numFmtId="0" fontId="30" fillId="5" borderId="38" xfId="0" applyFont="1" applyFill="1" applyBorder="1" applyAlignment="1" applyProtection="1">
      <alignment horizontal="center" vertical="center" wrapText="1"/>
    </xf>
    <xf numFmtId="0" fontId="30" fillId="5" borderId="39" xfId="0" applyFont="1" applyFill="1" applyBorder="1" applyAlignment="1" applyProtection="1">
      <alignment horizontal="center" vertical="center" wrapText="1"/>
    </xf>
    <xf numFmtId="0" fontId="30" fillId="5" borderId="33" xfId="0" applyFont="1" applyFill="1" applyBorder="1" applyAlignment="1" applyProtection="1">
      <alignment horizontal="center" vertical="center" wrapText="1"/>
    </xf>
    <xf numFmtId="0" fontId="30" fillId="5" borderId="34" xfId="0" applyFont="1" applyFill="1" applyBorder="1" applyAlignment="1" applyProtection="1">
      <alignment horizontal="center" vertical="center" wrapText="1"/>
    </xf>
    <xf numFmtId="0" fontId="30" fillId="5" borderId="2" xfId="0" applyFont="1" applyFill="1" applyBorder="1" applyAlignment="1" applyProtection="1">
      <alignment horizontal="center" vertical="center" wrapText="1"/>
    </xf>
    <xf numFmtId="0" fontId="19" fillId="0" borderId="27" xfId="0" applyFont="1" applyFill="1" applyBorder="1" applyAlignment="1" applyProtection="1">
      <alignment vertical="top"/>
      <protection locked="0"/>
    </xf>
    <xf numFmtId="0" fontId="19" fillId="0" borderId="28" xfId="0" applyFont="1" applyFill="1" applyBorder="1" applyAlignment="1" applyProtection="1">
      <alignment vertical="top"/>
      <protection locked="0"/>
    </xf>
    <xf numFmtId="0" fontId="19" fillId="0" borderId="29" xfId="0" applyFont="1" applyFill="1" applyBorder="1" applyAlignment="1" applyProtection="1">
      <alignment vertical="top"/>
      <protection locked="0"/>
    </xf>
    <xf numFmtId="0" fontId="43" fillId="0" borderId="0" xfId="0" applyFont="1" applyFill="1" applyBorder="1" applyAlignment="1" applyProtection="1">
      <alignment horizontal="left" vertical="top" wrapText="1"/>
      <protection locked="0"/>
    </xf>
    <xf numFmtId="0" fontId="30" fillId="5" borderId="41" xfId="0" applyFont="1" applyFill="1" applyBorder="1" applyAlignment="1" applyProtection="1">
      <alignment horizontal="center" vertical="center" wrapText="1"/>
    </xf>
    <xf numFmtId="0" fontId="30" fillId="5" borderId="42" xfId="0" applyFont="1" applyFill="1" applyBorder="1" applyAlignment="1" applyProtection="1">
      <alignment horizontal="center" vertical="center" wrapText="1"/>
    </xf>
    <xf numFmtId="0" fontId="30" fillId="5" borderId="23" xfId="0" applyFont="1" applyFill="1" applyBorder="1" applyAlignment="1" applyProtection="1">
      <alignment horizontal="center" vertical="center" wrapText="1"/>
    </xf>
    <xf numFmtId="0" fontId="30" fillId="5" borderId="43" xfId="0" applyFont="1" applyFill="1" applyBorder="1" applyAlignment="1" applyProtection="1">
      <alignment horizontal="center" vertical="center" wrapText="1"/>
    </xf>
    <xf numFmtId="0" fontId="30" fillId="5" borderId="44" xfId="0" applyFont="1" applyFill="1" applyBorder="1" applyAlignment="1" applyProtection="1">
      <alignment horizontal="center" vertical="center" wrapText="1"/>
    </xf>
    <xf numFmtId="0" fontId="30" fillId="5" borderId="45" xfId="0" applyFont="1" applyFill="1" applyBorder="1" applyAlignment="1" applyProtection="1">
      <alignment horizontal="center" vertical="center" wrapText="1"/>
    </xf>
    <xf numFmtId="0" fontId="30" fillId="5" borderId="8" xfId="0" applyFont="1" applyFill="1" applyBorder="1" applyAlignment="1" applyProtection="1">
      <alignment horizontal="center" vertical="center" wrapText="1"/>
    </xf>
    <xf numFmtId="0" fontId="30" fillId="5" borderId="35" xfId="0" applyFont="1" applyFill="1" applyBorder="1" applyAlignment="1" applyProtection="1">
      <alignment horizontal="center" vertical="center" wrapText="1"/>
    </xf>
    <xf numFmtId="0" fontId="30" fillId="5" borderId="27" xfId="0" applyFont="1" applyFill="1" applyBorder="1" applyAlignment="1" applyProtection="1">
      <alignment horizontal="center" vertical="center" wrapText="1"/>
    </xf>
    <xf numFmtId="0" fontId="30" fillId="5" borderId="36" xfId="0" applyFont="1" applyFill="1" applyBorder="1" applyAlignment="1" applyProtection="1">
      <alignment horizontal="left" vertical="center" wrapText="1"/>
    </xf>
    <xf numFmtId="0" fontId="30" fillId="5" borderId="37" xfId="0" applyFont="1" applyFill="1" applyBorder="1" applyAlignment="1" applyProtection="1">
      <alignment horizontal="left" vertical="center" wrapText="1"/>
    </xf>
    <xf numFmtId="0" fontId="43" fillId="0" borderId="0" xfId="0" applyFont="1" applyFill="1" applyBorder="1" applyAlignment="1" applyProtection="1">
      <alignment horizontal="left" vertical="top"/>
      <protection locked="0"/>
    </xf>
    <xf numFmtId="0" fontId="44" fillId="0" borderId="0" xfId="0" applyFont="1" applyFill="1" applyBorder="1" applyAlignment="1" applyProtection="1">
      <alignment horizontal="left" vertical="top"/>
      <protection locked="0"/>
    </xf>
    <xf numFmtId="0" fontId="30" fillId="5" borderId="20" xfId="0" applyFont="1" applyFill="1" applyBorder="1" applyAlignment="1" applyProtection="1">
      <alignment horizontal="center" vertical="center" wrapText="1"/>
    </xf>
    <xf numFmtId="0" fontId="30" fillId="5" borderId="32" xfId="0" applyFont="1" applyFill="1" applyBorder="1" applyAlignment="1" applyProtection="1">
      <alignment horizontal="center" vertical="center" wrapText="1"/>
    </xf>
    <xf numFmtId="0" fontId="43" fillId="0" borderId="25" xfId="0" applyFont="1" applyFill="1" applyBorder="1" applyAlignment="1" applyProtection="1">
      <alignment horizontal="left" vertical="center"/>
      <protection locked="0"/>
    </xf>
    <xf numFmtId="0" fontId="43" fillId="0" borderId="46" xfId="0" applyFont="1" applyFill="1" applyBorder="1" applyAlignment="1" applyProtection="1">
      <alignment horizontal="left" vertical="center"/>
      <protection locked="0"/>
    </xf>
    <xf numFmtId="0" fontId="43" fillId="0" borderId="47" xfId="0" applyFont="1" applyFill="1" applyBorder="1" applyAlignment="1" applyProtection="1">
      <alignment horizontal="left" vertical="center"/>
      <protection locked="0"/>
    </xf>
  </cellXfs>
  <cellStyles count="13">
    <cellStyle name="Hyperlink" xfId="12" builtinId="8"/>
    <cellStyle name="Normal" xfId="0" builtinId="0"/>
    <cellStyle name="Normal 2" xfId="1" xr:uid="{00000000-0005-0000-0000-000002000000}"/>
    <cellStyle name="Normal 2 2" xfId="2" xr:uid="{00000000-0005-0000-0000-000003000000}"/>
    <cellStyle name="Normal 3" xfId="3" xr:uid="{00000000-0005-0000-0000-000004000000}"/>
    <cellStyle name="Normal 4" xfId="4" xr:uid="{00000000-0005-0000-0000-000005000000}"/>
    <cellStyle name="ปกติ 2 2 2" xfId="5" xr:uid="{00000000-0005-0000-0000-000006000000}"/>
    <cellStyle name="ปกติ 2 2 2 2" xfId="6" xr:uid="{00000000-0005-0000-0000-000007000000}"/>
    <cellStyle name="ปกติ 3" xfId="7" xr:uid="{00000000-0005-0000-0000-000008000000}"/>
    <cellStyle name="ปกติ 3 2" xfId="8" xr:uid="{00000000-0005-0000-0000-000009000000}"/>
    <cellStyle name="ปกติ 4" xfId="9" xr:uid="{00000000-0005-0000-0000-00000A000000}"/>
    <cellStyle name="ปกติ 6" xfId="10" xr:uid="{00000000-0005-0000-0000-00000B000000}"/>
    <cellStyle name="ปกติ 7" xfId="11" xr:uid="{00000000-0005-0000-0000-00000C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vmlDrawing28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180975</xdr:rowOff>
    </xdr:from>
    <xdr:to>
      <xdr:col>4</xdr:col>
      <xdr:colOff>1381125</xdr:colOff>
      <xdr:row>11</xdr:row>
      <xdr:rowOff>188465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62050"/>
          <a:ext cx="8496300" cy="241731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161925</xdr:colOff>
      <xdr:row>4</xdr:row>
      <xdr:rowOff>9525</xdr:rowOff>
    </xdr:from>
    <xdr:to>
      <xdr:col>16</xdr:col>
      <xdr:colOff>276225</xdr:colOff>
      <xdr:row>41</xdr:row>
      <xdr:rowOff>47625</xdr:rowOff>
    </xdr:to>
    <xdr:pic>
      <xdr:nvPicPr>
        <xdr:cNvPr id="258874" name="Picture 30">
          <a:extLst>
            <a:ext uri="{FF2B5EF4-FFF2-40B4-BE49-F238E27FC236}">
              <a16:creationId xmlns:a16="http://schemas.microsoft.com/office/drawing/2014/main" id="{00000000-0008-0000-0200-00003AF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581025"/>
          <a:ext cx="8648700" cy="5410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419099</xdr:colOff>
      <xdr:row>3</xdr:row>
      <xdr:rowOff>19050</xdr:rowOff>
    </xdr:from>
    <xdr:to>
      <xdr:col>11</xdr:col>
      <xdr:colOff>276224</xdr:colOff>
      <xdr:row>6</xdr:row>
      <xdr:rowOff>47625</xdr:rowOff>
    </xdr:to>
    <xdr:sp macro="" textlink="">
      <xdr:nvSpPr>
        <xdr:cNvPr id="3" name="Rectangular Callou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086099" y="447675"/>
          <a:ext cx="3057525" cy="457200"/>
        </a:xfrm>
        <a:prstGeom prst="wedgeRectCallout">
          <a:avLst>
            <a:gd name="adj1" fmla="val -53184"/>
            <a:gd name="adj2" fmla="val 154167"/>
          </a:avLst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Name of Test Case</a:t>
          </a:r>
          <a:r>
            <a:rPr lang="en-US" sz="1100" baseline="0"/>
            <a:t> &amp; Test Script. For example : </a:t>
          </a:r>
          <a:r>
            <a:rPr lang="en-US" sz="1100" b="1" baseline="0">
              <a:solidFill>
                <a:schemeClr val="tx2">
                  <a:lumMod val="60000"/>
                  <a:lumOff val="40000"/>
                </a:schemeClr>
              </a:solidFill>
            </a:rPr>
            <a:t>PTTCH_UAT_Test Case &amp; Test Script_PICASO</a:t>
          </a:r>
          <a:endParaRPr lang="th-TH" sz="11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twoCellAnchor>
  <xdr:twoCellAnchor>
    <xdr:from>
      <xdr:col>11</xdr:col>
      <xdr:colOff>438151</xdr:colOff>
      <xdr:row>4</xdr:row>
      <xdr:rowOff>19049</xdr:rowOff>
    </xdr:from>
    <xdr:to>
      <xdr:col>16</xdr:col>
      <xdr:colOff>57151</xdr:colOff>
      <xdr:row>7</xdr:row>
      <xdr:rowOff>76199</xdr:rowOff>
    </xdr:to>
    <xdr:sp macro="" textlink="">
      <xdr:nvSpPr>
        <xdr:cNvPr id="4" name="Rectangular Callou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305551" y="590549"/>
          <a:ext cx="2286000" cy="485775"/>
        </a:xfrm>
        <a:prstGeom prst="wedgeRectCallout">
          <a:avLst>
            <a:gd name="adj1" fmla="val -69897"/>
            <a:gd name="adj2" fmla="val 152350"/>
          </a:avLst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Project  Release. For</a:t>
          </a:r>
          <a:r>
            <a:rPr lang="en-US" sz="1100" baseline="0"/>
            <a:t> Example : </a:t>
          </a:r>
          <a:r>
            <a:rPr lang="en-US" sz="1100" b="1" baseline="0">
              <a:solidFill>
                <a:schemeClr val="tx2">
                  <a:lumMod val="60000"/>
                  <a:lumOff val="40000"/>
                </a:schemeClr>
              </a:solidFill>
            </a:rPr>
            <a:t>R01</a:t>
          </a:r>
          <a:r>
            <a:rPr lang="en-US" sz="1100" baseline="0"/>
            <a:t> (If unknown Release, leave blank)</a:t>
          </a:r>
          <a:endParaRPr lang="th-TH" sz="1100"/>
        </a:p>
      </xdr:txBody>
    </xdr:sp>
    <xdr:clientData/>
  </xdr:twoCellAnchor>
  <xdr:twoCellAnchor>
    <xdr:from>
      <xdr:col>13</xdr:col>
      <xdr:colOff>19050</xdr:colOff>
      <xdr:row>8</xdr:row>
      <xdr:rowOff>95249</xdr:rowOff>
    </xdr:from>
    <xdr:to>
      <xdr:col>17</xdr:col>
      <xdr:colOff>476250</xdr:colOff>
      <xdr:row>11</xdr:row>
      <xdr:rowOff>57150</xdr:rowOff>
    </xdr:to>
    <xdr:sp macro="" textlink="">
      <xdr:nvSpPr>
        <xdr:cNvPr id="5" name="Rectangular Callou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953250" y="1238249"/>
          <a:ext cx="2590800" cy="390526"/>
        </a:xfrm>
        <a:prstGeom prst="wedgeRectCallout">
          <a:avLst>
            <a:gd name="adj1" fmla="val -79018"/>
            <a:gd name="adj2" fmla="val 90265"/>
          </a:avLst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Test Phase such as </a:t>
          </a:r>
          <a:r>
            <a:rPr lang="en-US" sz="1100" b="1"/>
            <a:t>SIT</a:t>
          </a:r>
          <a:r>
            <a:rPr lang="en-US" sz="1100"/>
            <a:t>, </a:t>
          </a:r>
          <a:r>
            <a:rPr lang="en-US" sz="1100" b="1"/>
            <a:t>UAT</a:t>
          </a:r>
          <a:endParaRPr lang="th-TH" sz="1100" b="1"/>
        </a:p>
      </xdr:txBody>
    </xdr:sp>
    <xdr:clientData/>
  </xdr:twoCellAnchor>
  <xdr:twoCellAnchor>
    <xdr:from>
      <xdr:col>13</xdr:col>
      <xdr:colOff>257175</xdr:colOff>
      <xdr:row>13</xdr:row>
      <xdr:rowOff>19050</xdr:rowOff>
    </xdr:from>
    <xdr:to>
      <xdr:col>18</xdr:col>
      <xdr:colOff>142875</xdr:colOff>
      <xdr:row>15</xdr:row>
      <xdr:rowOff>133350</xdr:rowOff>
    </xdr:to>
    <xdr:sp macro="" textlink="">
      <xdr:nvSpPr>
        <xdr:cNvPr id="6" name="Rectangular Callou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7191375" y="1876425"/>
          <a:ext cx="2552700" cy="400050"/>
        </a:xfrm>
        <a:prstGeom prst="wedgeRectCallout">
          <a:avLst>
            <a:gd name="adj1" fmla="val -88256"/>
            <a:gd name="adj2" fmla="val -23453"/>
          </a:avLst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Application Name</a:t>
          </a:r>
          <a:r>
            <a:rPr lang="en-US" sz="1100" baseline="0"/>
            <a:t> : </a:t>
          </a:r>
          <a:r>
            <a:rPr lang="en-US" sz="1100"/>
            <a:t>Product Name, For Example : </a:t>
          </a:r>
          <a:r>
            <a:rPr lang="en-US" sz="1100" b="1">
              <a:solidFill>
                <a:srgbClr val="0070C0"/>
              </a:solidFill>
            </a:rPr>
            <a:t>MakroB2B</a:t>
          </a:r>
          <a:endParaRPr lang="th-TH" sz="1100" b="1">
            <a:solidFill>
              <a:srgbClr val="0070C0"/>
            </a:solidFill>
          </a:endParaRPr>
        </a:p>
      </xdr:txBody>
    </xdr:sp>
    <xdr:clientData/>
  </xdr:twoCellAnchor>
  <xdr:twoCellAnchor>
    <xdr:from>
      <xdr:col>11</xdr:col>
      <xdr:colOff>266700</xdr:colOff>
      <xdr:row>16</xdr:row>
      <xdr:rowOff>123825</xdr:rowOff>
    </xdr:from>
    <xdr:to>
      <xdr:col>16</xdr:col>
      <xdr:colOff>133350</xdr:colOff>
      <xdr:row>19</xdr:row>
      <xdr:rowOff>95250</xdr:rowOff>
    </xdr:to>
    <xdr:sp macro="" textlink="">
      <xdr:nvSpPr>
        <xdr:cNvPr id="7" name="Rectangular Callou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134100" y="2409825"/>
          <a:ext cx="2533650" cy="400050"/>
        </a:xfrm>
        <a:prstGeom prst="wedgeRectCallout">
          <a:avLst>
            <a:gd name="adj1" fmla="val -82597"/>
            <a:gd name="adj2" fmla="val -106547"/>
          </a:avLst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Created By : Creater Name (Your Name)</a:t>
          </a:r>
          <a:endParaRPr lang="th-TH" sz="1100"/>
        </a:p>
      </xdr:txBody>
    </xdr:sp>
    <xdr:clientData/>
  </xdr:twoCellAnchor>
  <xdr:twoCellAnchor>
    <xdr:from>
      <xdr:col>17</xdr:col>
      <xdr:colOff>247650</xdr:colOff>
      <xdr:row>16</xdr:row>
      <xdr:rowOff>104773</xdr:rowOff>
    </xdr:from>
    <xdr:to>
      <xdr:col>22</xdr:col>
      <xdr:colOff>371475</xdr:colOff>
      <xdr:row>21</xdr:row>
      <xdr:rowOff>57149</xdr:rowOff>
    </xdr:to>
    <xdr:sp macro="" textlink="">
      <xdr:nvSpPr>
        <xdr:cNvPr id="8" name="Rectangular Callou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9315450" y="2390773"/>
          <a:ext cx="2790825" cy="666751"/>
        </a:xfrm>
        <a:prstGeom prst="wedgeRectCallout">
          <a:avLst>
            <a:gd name="adj1" fmla="val -121065"/>
            <a:gd name="adj2" fmla="val 45804"/>
          </a:avLst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Path of Document ,</a:t>
          </a:r>
          <a:r>
            <a:rPr lang="en-US" sz="1100" baseline="0"/>
            <a:t> </a:t>
          </a:r>
          <a:r>
            <a:rPr lang="en-US" sz="1100"/>
            <a:t>For Example: \\servername\folder\filename (If unknown path, leave blank)</a:t>
          </a:r>
          <a:endParaRPr lang="th-TH" sz="1100"/>
        </a:p>
      </xdr:txBody>
    </xdr:sp>
    <xdr:clientData/>
  </xdr:twoCellAnchor>
  <xdr:twoCellAnchor>
    <xdr:from>
      <xdr:col>16</xdr:col>
      <xdr:colOff>238125</xdr:colOff>
      <xdr:row>21</xdr:row>
      <xdr:rowOff>123824</xdr:rowOff>
    </xdr:from>
    <xdr:to>
      <xdr:col>21</xdr:col>
      <xdr:colOff>28575</xdr:colOff>
      <xdr:row>25</xdr:row>
      <xdr:rowOff>76199</xdr:rowOff>
    </xdr:to>
    <xdr:sp macro="" textlink="">
      <xdr:nvSpPr>
        <xdr:cNvPr id="9" name="Rectangular Callou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8772525" y="3124199"/>
          <a:ext cx="2457450" cy="523875"/>
        </a:xfrm>
        <a:prstGeom prst="wedgeRectCallout">
          <a:avLst>
            <a:gd name="adj1" fmla="val -103391"/>
            <a:gd name="adj2" fmla="val -38386"/>
          </a:avLst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Short</a:t>
          </a:r>
          <a:r>
            <a:rPr lang="en-US" sz="1100" baseline="0"/>
            <a:t> description of document 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unknown, leave blank)</a:t>
          </a:r>
          <a:endParaRPr lang="th-TH" sz="1100"/>
        </a:p>
      </xdr:txBody>
    </xdr:sp>
    <xdr:clientData/>
  </xdr:twoCellAnchor>
  <xdr:twoCellAnchor>
    <xdr:from>
      <xdr:col>0</xdr:col>
      <xdr:colOff>428625</xdr:colOff>
      <xdr:row>30</xdr:row>
      <xdr:rowOff>47625</xdr:rowOff>
    </xdr:from>
    <xdr:to>
      <xdr:col>4</xdr:col>
      <xdr:colOff>57150</xdr:colOff>
      <xdr:row>34</xdr:row>
      <xdr:rowOff>19050</xdr:rowOff>
    </xdr:to>
    <xdr:sp macro="" textlink="">
      <xdr:nvSpPr>
        <xdr:cNvPr id="10" name="Rectangular Callou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428625" y="4333875"/>
          <a:ext cx="1762125" cy="542925"/>
        </a:xfrm>
        <a:prstGeom prst="wedgeRectCallout">
          <a:avLst>
            <a:gd name="adj1" fmla="val 1870"/>
            <a:gd name="adj2" fmla="val -105702"/>
          </a:avLst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Creator</a:t>
          </a:r>
          <a:r>
            <a:rPr lang="en-US" sz="1100" baseline="0"/>
            <a:t> Name (Your Name)</a:t>
          </a:r>
          <a:endParaRPr lang="th-TH" sz="1100"/>
        </a:p>
      </xdr:txBody>
    </xdr:sp>
    <xdr:clientData/>
  </xdr:twoCellAnchor>
  <xdr:twoCellAnchor>
    <xdr:from>
      <xdr:col>4</xdr:col>
      <xdr:colOff>180976</xdr:colOff>
      <xdr:row>34</xdr:row>
      <xdr:rowOff>38101</xdr:rowOff>
    </xdr:from>
    <xdr:to>
      <xdr:col>7</xdr:col>
      <xdr:colOff>66676</xdr:colOff>
      <xdr:row>37</xdr:row>
      <xdr:rowOff>19051</xdr:rowOff>
    </xdr:to>
    <xdr:sp macro="" textlink="">
      <xdr:nvSpPr>
        <xdr:cNvPr id="11" name="Rectangular Callou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2314576" y="4895851"/>
          <a:ext cx="1485900" cy="495300"/>
        </a:xfrm>
        <a:prstGeom prst="wedgeRectCallout">
          <a:avLst>
            <a:gd name="adj1" fmla="val -25423"/>
            <a:gd name="adj2" fmla="val -231090"/>
          </a:avLst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Finish Date (dd/mm/yyyy)</a:t>
          </a:r>
          <a:endParaRPr lang="th-TH" sz="1100"/>
        </a:p>
      </xdr:txBody>
    </xdr:sp>
    <xdr:clientData/>
  </xdr:twoCellAnchor>
  <xdr:twoCellAnchor>
    <xdr:from>
      <xdr:col>7</xdr:col>
      <xdr:colOff>209550</xdr:colOff>
      <xdr:row>33</xdr:row>
      <xdr:rowOff>133350</xdr:rowOff>
    </xdr:from>
    <xdr:to>
      <xdr:col>10</xdr:col>
      <xdr:colOff>247650</xdr:colOff>
      <xdr:row>36</xdr:row>
      <xdr:rowOff>133350</xdr:rowOff>
    </xdr:to>
    <xdr:sp macro="" textlink="">
      <xdr:nvSpPr>
        <xdr:cNvPr id="12" name="Rectangular Callout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3943350" y="4848225"/>
          <a:ext cx="1638300" cy="514350"/>
        </a:xfrm>
        <a:prstGeom prst="wedgeRectCallout">
          <a:avLst>
            <a:gd name="adj1" fmla="val -52229"/>
            <a:gd name="adj2" fmla="val -220463"/>
          </a:avLst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Document version</a:t>
          </a:r>
          <a:endParaRPr lang="th-TH" sz="1100"/>
        </a:p>
      </xdr:txBody>
    </xdr:sp>
    <xdr:clientData/>
  </xdr:twoCellAnchor>
  <xdr:twoCellAnchor>
    <xdr:from>
      <xdr:col>14</xdr:col>
      <xdr:colOff>266700</xdr:colOff>
      <xdr:row>31</xdr:row>
      <xdr:rowOff>0</xdr:rowOff>
    </xdr:from>
    <xdr:to>
      <xdr:col>19</xdr:col>
      <xdr:colOff>0</xdr:colOff>
      <xdr:row>33</xdr:row>
      <xdr:rowOff>76200</xdr:rowOff>
    </xdr:to>
    <xdr:sp macro="" textlink="">
      <xdr:nvSpPr>
        <xdr:cNvPr id="13" name="Rectangular Callout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7734300" y="4429125"/>
          <a:ext cx="2400300" cy="361950"/>
        </a:xfrm>
        <a:prstGeom prst="wedgeRectCallout">
          <a:avLst>
            <a:gd name="adj1" fmla="val -67261"/>
            <a:gd name="adj2" fmla="val -174343"/>
          </a:avLst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Comment</a:t>
          </a:r>
          <a:r>
            <a:rPr lang="en-US" sz="1100" baseline="0"/>
            <a:t> or description or Note</a:t>
          </a:r>
          <a:endParaRPr lang="th-TH" sz="1100"/>
        </a:p>
      </xdr:txBody>
    </xdr:sp>
    <xdr:clientData/>
  </xdr:twoCellAnchor>
  <xdr:twoCellAnchor>
    <xdr:from>
      <xdr:col>15</xdr:col>
      <xdr:colOff>257175</xdr:colOff>
      <xdr:row>26</xdr:row>
      <xdr:rowOff>28575</xdr:rowOff>
    </xdr:from>
    <xdr:to>
      <xdr:col>20</xdr:col>
      <xdr:colOff>142875</xdr:colOff>
      <xdr:row>29</xdr:row>
      <xdr:rowOff>0</xdr:rowOff>
    </xdr:to>
    <xdr:sp macro="" textlink="">
      <xdr:nvSpPr>
        <xdr:cNvPr id="32" name="Rectangular Callou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8258175" y="3743325"/>
          <a:ext cx="2552700" cy="400050"/>
        </a:xfrm>
        <a:prstGeom prst="wedgeRectCallout">
          <a:avLst>
            <a:gd name="adj1" fmla="val -92734"/>
            <a:gd name="adj2" fmla="val -137739"/>
          </a:avLst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Related Document such as FRS, SRS,  CSFD etc.</a:t>
          </a:r>
          <a:endParaRPr lang="th-TH" sz="1100" b="1">
            <a:solidFill>
              <a:srgbClr val="0070C0"/>
            </a:solidFill>
          </a:endParaRPr>
        </a:p>
      </xdr:txBody>
    </xdr:sp>
    <xdr:clientData/>
  </xdr:twoCellAnchor>
  <xdr:twoCellAnchor editAs="oneCell">
    <xdr:from>
      <xdr:col>0</xdr:col>
      <xdr:colOff>95250</xdr:colOff>
      <xdr:row>44</xdr:row>
      <xdr:rowOff>0</xdr:rowOff>
    </xdr:from>
    <xdr:to>
      <xdr:col>16</xdr:col>
      <xdr:colOff>85725</xdr:colOff>
      <xdr:row>78</xdr:row>
      <xdr:rowOff>0</xdr:rowOff>
    </xdr:to>
    <xdr:pic>
      <xdr:nvPicPr>
        <xdr:cNvPr id="258887" name="Picture 32">
          <a:extLst>
            <a:ext uri="{FF2B5EF4-FFF2-40B4-BE49-F238E27FC236}">
              <a16:creationId xmlns:a16="http://schemas.microsoft.com/office/drawing/2014/main" id="{00000000-0008-0000-0200-000047F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6457950"/>
          <a:ext cx="8524875" cy="4857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50</xdr:row>
      <xdr:rowOff>47625</xdr:rowOff>
    </xdr:from>
    <xdr:to>
      <xdr:col>21</xdr:col>
      <xdr:colOff>28575</xdr:colOff>
      <xdr:row>79</xdr:row>
      <xdr:rowOff>133350</xdr:rowOff>
    </xdr:to>
    <xdr:pic>
      <xdr:nvPicPr>
        <xdr:cNvPr id="258888" name="Picture 33">
          <a:extLst>
            <a:ext uri="{FF2B5EF4-FFF2-40B4-BE49-F238E27FC236}">
              <a16:creationId xmlns:a16="http://schemas.microsoft.com/office/drawing/2014/main" id="{00000000-0008-0000-0200-000048F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7362825"/>
          <a:ext cx="11068050" cy="422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85725</xdr:colOff>
      <xdr:row>90</xdr:row>
      <xdr:rowOff>57150</xdr:rowOff>
    </xdr:from>
    <xdr:to>
      <xdr:col>20</xdr:col>
      <xdr:colOff>514350</xdr:colOff>
      <xdr:row>123</xdr:row>
      <xdr:rowOff>57150</xdr:rowOff>
    </xdr:to>
    <xdr:pic>
      <xdr:nvPicPr>
        <xdr:cNvPr id="258889" name="Picture 34">
          <a:extLst>
            <a:ext uri="{FF2B5EF4-FFF2-40B4-BE49-F238E27FC236}">
              <a16:creationId xmlns:a16="http://schemas.microsoft.com/office/drawing/2014/main" id="{00000000-0008-0000-0200-000049F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" y="13296900"/>
          <a:ext cx="11096625" cy="4714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28575</xdr:colOff>
      <xdr:row>131</xdr:row>
      <xdr:rowOff>95250</xdr:rowOff>
    </xdr:from>
    <xdr:to>
      <xdr:col>16</xdr:col>
      <xdr:colOff>190500</xdr:colOff>
      <xdr:row>169</xdr:row>
      <xdr:rowOff>57150</xdr:rowOff>
    </xdr:to>
    <xdr:pic>
      <xdr:nvPicPr>
        <xdr:cNvPr id="258890" name="Picture 35">
          <a:extLst>
            <a:ext uri="{FF2B5EF4-FFF2-40B4-BE49-F238E27FC236}">
              <a16:creationId xmlns:a16="http://schemas.microsoft.com/office/drawing/2014/main" id="{00000000-0008-0000-0200-00004AF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19326225"/>
          <a:ext cx="8696325" cy="5476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190500</xdr:colOff>
      <xdr:row>160</xdr:row>
      <xdr:rowOff>85725</xdr:rowOff>
    </xdr:from>
    <xdr:to>
      <xdr:col>16</xdr:col>
      <xdr:colOff>238125</xdr:colOff>
      <xdr:row>164</xdr:row>
      <xdr:rowOff>38100</xdr:rowOff>
    </xdr:to>
    <xdr:sp macro="" textlink="">
      <xdr:nvSpPr>
        <xdr:cNvPr id="22" name="Rectangular Callout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6057900" y="29689425"/>
          <a:ext cx="2714625" cy="523875"/>
        </a:xfrm>
        <a:prstGeom prst="wedgeRectCallout">
          <a:avLst>
            <a:gd name="adj1" fmla="val -63290"/>
            <a:gd name="adj2" fmla="val 145090"/>
          </a:avLst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New sheet name</a:t>
          </a:r>
          <a:r>
            <a:rPr lang="en-US" sz="1100" baseline="0"/>
            <a:t> UAT_TC_B2B_00001 is created together with contents</a:t>
          </a:r>
          <a:endParaRPr lang="th-TH" sz="1100"/>
        </a:p>
      </xdr:txBody>
    </xdr:sp>
    <xdr:clientData/>
  </xdr:twoCellAnchor>
  <xdr:twoCellAnchor editAs="oneCell">
    <xdr:from>
      <xdr:col>0</xdr:col>
      <xdr:colOff>0</xdr:colOff>
      <xdr:row>178</xdr:row>
      <xdr:rowOff>0</xdr:rowOff>
    </xdr:from>
    <xdr:to>
      <xdr:col>16</xdr:col>
      <xdr:colOff>276225</xdr:colOff>
      <xdr:row>213</xdr:row>
      <xdr:rowOff>47625</xdr:rowOff>
    </xdr:to>
    <xdr:pic>
      <xdr:nvPicPr>
        <xdr:cNvPr id="258892" name="Picture 37">
          <a:extLst>
            <a:ext uri="{FF2B5EF4-FFF2-40B4-BE49-F238E27FC236}">
              <a16:creationId xmlns:a16="http://schemas.microsoft.com/office/drawing/2014/main" id="{00000000-0008-0000-0200-00004CF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6165175"/>
          <a:ext cx="8810625" cy="5133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11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025" name="Text Box 1">
          <a:extLst>
            <a:ext uri="{FF2B5EF4-FFF2-40B4-BE49-F238E27FC236}">
              <a16:creationId xmlns:a16="http://schemas.microsoft.com/office/drawing/2014/main" id="{00000000-0008-0000-0300-000001040000}"/>
            </a:ext>
          </a:extLst>
        </xdr:cNvPr>
        <xdr:cNvSpPr txBox="1">
          <a:spLocks noChangeArrowheads="1"/>
        </xdr:cNvSpPr>
      </xdr:nvSpPr>
      <xdr:spPr bwMode="auto">
        <a:xfrm>
          <a:off x="10344150" y="277177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:</a:t>
          </a:r>
        </a:p>
        <a:p>
          <a:pPr algn="l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:</a:t>
          </a:r>
        </a:p>
        <a:p>
          <a:pPr algn="l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:</a:t>
          </a:r>
        </a:p>
        <a:p>
          <a:pPr algn="l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: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026" name="Text Box 2">
          <a:extLst>
            <a:ext uri="{FF2B5EF4-FFF2-40B4-BE49-F238E27FC236}">
              <a16:creationId xmlns:a16="http://schemas.microsoft.com/office/drawing/2014/main" id="{00000000-0008-0000-0300-000002040000}"/>
            </a:ext>
          </a:extLst>
        </xdr:cNvPr>
        <xdr:cNvSpPr txBox="1">
          <a:spLocks noChangeArrowheads="1"/>
        </xdr:cNvSpPr>
      </xdr:nvSpPr>
      <xdr:spPr bwMode="auto">
        <a:xfrm>
          <a:off x="10344150" y="277177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:</a:t>
          </a:r>
        </a:p>
        <a:p>
          <a:pPr algn="l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:</a:t>
          </a:r>
        </a:p>
        <a:p>
          <a:pPr algn="l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:</a:t>
          </a:r>
        </a:p>
        <a:p>
          <a:pPr algn="l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: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027" name="Text Box 3">
          <a:extLst>
            <a:ext uri="{FF2B5EF4-FFF2-40B4-BE49-F238E27FC236}">
              <a16:creationId xmlns:a16="http://schemas.microsoft.com/office/drawing/2014/main" id="{00000000-0008-0000-0300-000003040000}"/>
            </a:ext>
          </a:extLst>
        </xdr:cNvPr>
        <xdr:cNvSpPr txBox="1">
          <a:spLocks noChangeArrowheads="1"/>
        </xdr:cNvSpPr>
      </xdr:nvSpPr>
      <xdr:spPr bwMode="auto">
        <a:xfrm>
          <a:off x="10344150" y="277177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:</a:t>
          </a:r>
        </a:p>
        <a:p>
          <a:pPr algn="l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:</a:t>
          </a:r>
        </a:p>
        <a:p>
          <a:pPr algn="l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:</a:t>
          </a:r>
        </a:p>
        <a:p>
          <a:pPr algn="l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:</a:t>
          </a:r>
        </a:p>
      </xdr:txBody>
    </xdr:sp>
    <xdr:clientData/>
  </xdr:twoCellAnchor>
  <xdr:twoCellAnchor>
    <xdr:from>
      <xdr:col>8</xdr:col>
      <xdr:colOff>104775</xdr:colOff>
      <xdr:row>6</xdr:row>
      <xdr:rowOff>38100</xdr:rowOff>
    </xdr:from>
    <xdr:to>
      <xdr:col>9</xdr:col>
      <xdr:colOff>885825</xdr:colOff>
      <xdr:row>9</xdr:row>
      <xdr:rowOff>66675</xdr:rowOff>
    </xdr:to>
    <xdr:sp macro="" textlink="">
      <xdr:nvSpPr>
        <xdr:cNvPr id="243210" name="Rectangle 192">
          <a:extLst>
            <a:ext uri="{FF2B5EF4-FFF2-40B4-BE49-F238E27FC236}">
              <a16:creationId xmlns:a16="http://schemas.microsoft.com/office/drawing/2014/main" id="{00000000-0008-0000-0300-00000AB60300}"/>
            </a:ext>
          </a:extLst>
        </xdr:cNvPr>
        <xdr:cNvSpPr>
          <a:spLocks noChangeArrowheads="1"/>
        </xdr:cNvSpPr>
      </xdr:nvSpPr>
      <xdr:spPr bwMode="auto">
        <a:xfrm>
          <a:off x="7820025" y="209550"/>
          <a:ext cx="1847850" cy="1028700"/>
        </a:xfrm>
        <a:prstGeom prst="rect">
          <a:avLst/>
        </a:prstGeom>
        <a:solidFill>
          <a:srgbClr val="37609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182880</xdr:colOff>
          <xdr:row>6</xdr:row>
          <xdr:rowOff>114300</xdr:rowOff>
        </xdr:from>
        <xdr:to>
          <xdr:col>9</xdr:col>
          <xdr:colOff>822960</xdr:colOff>
          <xdr:row>7</xdr:row>
          <xdr:rowOff>30480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3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h-TH" sz="900" b="1" i="0" u="none" strike="noStrike" baseline="0">
                  <a:solidFill>
                    <a:srgbClr val="008000"/>
                  </a:solidFill>
                  <a:latin typeface="Arial"/>
                </a:rPr>
                <a:t>Create Test 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7</xdr:row>
          <xdr:rowOff>106680</xdr:rowOff>
        </xdr:from>
        <xdr:to>
          <xdr:col>9</xdr:col>
          <xdr:colOff>838200</xdr:colOff>
          <xdr:row>8</xdr:row>
          <xdr:rowOff>7620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3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h-TH" sz="900" b="1" i="0" u="none" strike="noStrike" baseline="0">
                  <a:solidFill>
                    <a:srgbClr val="800000"/>
                  </a:solidFill>
                  <a:latin typeface="Arial"/>
                </a:rPr>
                <a:t>Copy Test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182880</xdr:colOff>
          <xdr:row>8</xdr:row>
          <xdr:rowOff>83820</xdr:rowOff>
        </xdr:from>
        <xdr:to>
          <xdr:col>9</xdr:col>
          <xdr:colOff>830580</xdr:colOff>
          <xdr:row>8</xdr:row>
          <xdr:rowOff>312420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3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h-TH" sz="900" b="1" i="0" u="none" strike="noStrike" baseline="0">
                  <a:solidFill>
                    <a:srgbClr val="0000FF"/>
                  </a:solidFill>
                  <a:latin typeface="Arial"/>
                </a:rPr>
                <a:t>Go To Test Script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295275</xdr:colOff>
      <xdr:row>8</xdr:row>
      <xdr:rowOff>161925</xdr:rowOff>
    </xdr:from>
    <xdr:to>
      <xdr:col>6</xdr:col>
      <xdr:colOff>1314450</xdr:colOff>
      <xdr:row>9</xdr:row>
      <xdr:rowOff>247650</xdr:rowOff>
    </xdr:to>
    <xdr:sp macro="" textlink="">
      <xdr:nvSpPr>
        <xdr:cNvPr id="207818" name="Rectangle 1">
          <a:extLst>
            <a:ext uri="{FF2B5EF4-FFF2-40B4-BE49-F238E27FC236}">
              <a16:creationId xmlns:a16="http://schemas.microsoft.com/office/drawing/2014/main" id="{00000000-0008-0000-0400-0000CA2B0300}"/>
            </a:ext>
          </a:extLst>
        </xdr:cNvPr>
        <xdr:cNvSpPr>
          <a:spLocks noChangeArrowheads="1"/>
        </xdr:cNvSpPr>
      </xdr:nvSpPr>
      <xdr:spPr bwMode="auto">
        <a:xfrm>
          <a:off x="2228850" y="2543175"/>
          <a:ext cx="1019175" cy="371475"/>
        </a:xfrm>
        <a:prstGeom prst="rect">
          <a:avLst/>
        </a:prstGeom>
        <a:solidFill>
          <a:srgbClr val="254061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8</xdr:row>
          <xdr:rowOff>236220</xdr:rowOff>
        </xdr:from>
        <xdr:to>
          <xdr:col>6</xdr:col>
          <xdr:colOff>1219200</xdr:colOff>
          <xdr:row>9</xdr:row>
          <xdr:rowOff>160020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4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800" b="1" i="0" u="none" strike="noStrike" baseline="0">
                  <a:solidFill>
                    <a:srgbClr val="0000FF"/>
                  </a:solidFill>
                  <a:latin typeface="Arial"/>
                </a:rPr>
                <a:t>Goto Test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0</xdr:row>
          <xdr:rowOff>137160</xdr:rowOff>
        </xdr:from>
        <xdr:to>
          <xdr:col>1</xdr:col>
          <xdr:colOff>1257300</xdr:colOff>
          <xdr:row>0</xdr:row>
          <xdr:rowOff>457200</xdr:rowOff>
        </xdr:to>
        <xdr:sp macro="" textlink="">
          <xdr:nvSpPr>
            <xdr:cNvPr id="254980" name="Button 4" hidden="1">
              <a:extLst>
                <a:ext uri="{63B3BB69-23CF-44E3-9099-C40C66FF867C}">
                  <a14:compatExt spid="_x0000_s254980"/>
                </a:ext>
                <a:ext uri="{FF2B5EF4-FFF2-40B4-BE49-F238E27FC236}">
                  <a16:creationId xmlns:a16="http://schemas.microsoft.com/office/drawing/2014/main" id="{00000000-0008-0000-0500-000004E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800" b="0" i="0" u="none" strike="noStrike" baseline="0">
                  <a:solidFill>
                    <a:srgbClr val="000000"/>
                  </a:solidFill>
                  <a:latin typeface="Arial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295275</xdr:colOff>
      <xdr:row>8</xdr:row>
      <xdr:rowOff>161925</xdr:rowOff>
    </xdr:from>
    <xdr:to>
      <xdr:col>6</xdr:col>
      <xdr:colOff>1314450</xdr:colOff>
      <xdr:row>9</xdr:row>
      <xdr:rowOff>247650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>
          <a:spLocks noChangeArrowheads="1"/>
        </xdr:cNvSpPr>
      </xdr:nvSpPr>
      <xdr:spPr bwMode="auto">
        <a:xfrm>
          <a:off x="2228850" y="2543175"/>
          <a:ext cx="1019175" cy="371475"/>
        </a:xfrm>
        <a:prstGeom prst="rect">
          <a:avLst/>
        </a:prstGeom>
        <a:solidFill>
          <a:srgbClr val="254061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8</xdr:row>
          <xdr:rowOff>236220</xdr:rowOff>
        </xdr:from>
        <xdr:to>
          <xdr:col>6</xdr:col>
          <xdr:colOff>1219200</xdr:colOff>
          <xdr:row>9</xdr:row>
          <xdr:rowOff>160020</xdr:rowOff>
        </xdr:to>
        <xdr:sp macro="" textlink="">
          <xdr:nvSpPr>
            <xdr:cNvPr id="314369" name="Button 1" hidden="1">
              <a:extLst>
                <a:ext uri="{63B3BB69-23CF-44E3-9099-C40C66FF867C}">
                  <a14:compatExt spid="_x0000_s314369"/>
                </a:ext>
                <a:ext uri="{FF2B5EF4-FFF2-40B4-BE49-F238E27FC236}">
                  <a16:creationId xmlns:a16="http://schemas.microsoft.com/office/drawing/2014/main" id="{00000000-0008-0000-0700-000001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800" b="1" i="0" u="none" strike="noStrike" baseline="0">
                  <a:solidFill>
                    <a:srgbClr val="0000FF"/>
                  </a:solidFill>
                  <a:latin typeface="Arial"/>
                </a:rPr>
                <a:t>Goto Test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295275</xdr:colOff>
      <xdr:row>8</xdr:row>
      <xdr:rowOff>161925</xdr:rowOff>
    </xdr:from>
    <xdr:to>
      <xdr:col>6</xdr:col>
      <xdr:colOff>1314450</xdr:colOff>
      <xdr:row>9</xdr:row>
      <xdr:rowOff>247650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>
          <a:spLocks noChangeArrowheads="1"/>
        </xdr:cNvSpPr>
      </xdr:nvSpPr>
      <xdr:spPr bwMode="auto">
        <a:xfrm>
          <a:off x="2228850" y="2543175"/>
          <a:ext cx="1019175" cy="371475"/>
        </a:xfrm>
        <a:prstGeom prst="rect">
          <a:avLst/>
        </a:prstGeom>
        <a:solidFill>
          <a:srgbClr val="254061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8</xdr:row>
          <xdr:rowOff>236220</xdr:rowOff>
        </xdr:from>
        <xdr:to>
          <xdr:col>6</xdr:col>
          <xdr:colOff>1219200</xdr:colOff>
          <xdr:row>9</xdr:row>
          <xdr:rowOff>160020</xdr:rowOff>
        </xdr:to>
        <xdr:sp macro="" textlink="">
          <xdr:nvSpPr>
            <xdr:cNvPr id="315393" name="Button 1" hidden="1">
              <a:extLst>
                <a:ext uri="{63B3BB69-23CF-44E3-9099-C40C66FF867C}">
                  <a14:compatExt spid="_x0000_s315393"/>
                </a:ext>
                <a:ext uri="{FF2B5EF4-FFF2-40B4-BE49-F238E27FC236}">
                  <a16:creationId xmlns:a16="http://schemas.microsoft.com/office/drawing/2014/main" id="{00000000-0008-0000-0800-000001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800" b="1" i="0" u="none" strike="noStrike" baseline="0">
                  <a:solidFill>
                    <a:srgbClr val="0000FF"/>
                  </a:solidFill>
                  <a:latin typeface="Arial"/>
                </a:rPr>
                <a:t>Goto Test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295275</xdr:colOff>
      <xdr:row>8</xdr:row>
      <xdr:rowOff>161925</xdr:rowOff>
    </xdr:from>
    <xdr:to>
      <xdr:col>6</xdr:col>
      <xdr:colOff>1314450</xdr:colOff>
      <xdr:row>9</xdr:row>
      <xdr:rowOff>247650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>
          <a:spLocks noChangeArrowheads="1"/>
        </xdr:cNvSpPr>
      </xdr:nvSpPr>
      <xdr:spPr bwMode="auto">
        <a:xfrm>
          <a:off x="2228850" y="2543175"/>
          <a:ext cx="1019175" cy="371475"/>
        </a:xfrm>
        <a:prstGeom prst="rect">
          <a:avLst/>
        </a:prstGeom>
        <a:solidFill>
          <a:srgbClr val="254061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8</xdr:row>
          <xdr:rowOff>236220</xdr:rowOff>
        </xdr:from>
        <xdr:to>
          <xdr:col>6</xdr:col>
          <xdr:colOff>1219200</xdr:colOff>
          <xdr:row>9</xdr:row>
          <xdr:rowOff>160020</xdr:rowOff>
        </xdr:to>
        <xdr:sp macro="" textlink="">
          <xdr:nvSpPr>
            <xdr:cNvPr id="316417" name="Button 1" hidden="1">
              <a:extLst>
                <a:ext uri="{63B3BB69-23CF-44E3-9099-C40C66FF867C}">
                  <a14:compatExt spid="_x0000_s316417"/>
                </a:ext>
                <a:ext uri="{FF2B5EF4-FFF2-40B4-BE49-F238E27FC236}">
                  <a16:creationId xmlns:a16="http://schemas.microsoft.com/office/drawing/2014/main" id="{00000000-0008-0000-0900-000001D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800" b="1" i="0" u="none" strike="noStrike" baseline="0">
                  <a:solidFill>
                    <a:srgbClr val="0000FF"/>
                  </a:solidFill>
                  <a:latin typeface="Arial"/>
                </a:rPr>
                <a:t>Goto Test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295275</xdr:colOff>
      <xdr:row>8</xdr:row>
      <xdr:rowOff>161925</xdr:rowOff>
    </xdr:from>
    <xdr:to>
      <xdr:col>6</xdr:col>
      <xdr:colOff>1314450</xdr:colOff>
      <xdr:row>9</xdr:row>
      <xdr:rowOff>247650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>
          <a:spLocks noChangeArrowheads="1"/>
        </xdr:cNvSpPr>
      </xdr:nvSpPr>
      <xdr:spPr bwMode="auto">
        <a:xfrm>
          <a:off x="2228850" y="2543175"/>
          <a:ext cx="1019175" cy="371475"/>
        </a:xfrm>
        <a:prstGeom prst="rect">
          <a:avLst/>
        </a:prstGeom>
        <a:solidFill>
          <a:srgbClr val="254061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8</xdr:row>
          <xdr:rowOff>236220</xdr:rowOff>
        </xdr:from>
        <xdr:to>
          <xdr:col>6</xdr:col>
          <xdr:colOff>1219200</xdr:colOff>
          <xdr:row>9</xdr:row>
          <xdr:rowOff>160020</xdr:rowOff>
        </xdr:to>
        <xdr:sp macro="" textlink="">
          <xdr:nvSpPr>
            <xdr:cNvPr id="317441" name="Button 1" hidden="1">
              <a:extLst>
                <a:ext uri="{63B3BB69-23CF-44E3-9099-C40C66FF867C}">
                  <a14:compatExt spid="_x0000_s317441"/>
                </a:ext>
                <a:ext uri="{FF2B5EF4-FFF2-40B4-BE49-F238E27FC236}">
                  <a16:creationId xmlns:a16="http://schemas.microsoft.com/office/drawing/2014/main" id="{00000000-0008-0000-0A00-000001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800" b="1" i="0" u="none" strike="noStrike" baseline="0">
                  <a:solidFill>
                    <a:srgbClr val="0000FF"/>
                  </a:solidFill>
                  <a:latin typeface="Arial"/>
                </a:rPr>
                <a:t>Goto Test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295275</xdr:colOff>
      <xdr:row>8</xdr:row>
      <xdr:rowOff>161925</xdr:rowOff>
    </xdr:from>
    <xdr:to>
      <xdr:col>6</xdr:col>
      <xdr:colOff>1314450</xdr:colOff>
      <xdr:row>9</xdr:row>
      <xdr:rowOff>247650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>
          <a:spLocks noChangeArrowheads="1"/>
        </xdr:cNvSpPr>
      </xdr:nvSpPr>
      <xdr:spPr bwMode="auto">
        <a:xfrm>
          <a:off x="2228850" y="2543175"/>
          <a:ext cx="1019175" cy="371475"/>
        </a:xfrm>
        <a:prstGeom prst="rect">
          <a:avLst/>
        </a:prstGeom>
        <a:solidFill>
          <a:srgbClr val="254061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8</xdr:row>
          <xdr:rowOff>236220</xdr:rowOff>
        </xdr:from>
        <xdr:to>
          <xdr:col>6</xdr:col>
          <xdr:colOff>1219200</xdr:colOff>
          <xdr:row>9</xdr:row>
          <xdr:rowOff>160020</xdr:rowOff>
        </xdr:to>
        <xdr:sp macro="" textlink="">
          <xdr:nvSpPr>
            <xdr:cNvPr id="318465" name="Button 1" hidden="1">
              <a:extLst>
                <a:ext uri="{63B3BB69-23CF-44E3-9099-C40C66FF867C}">
                  <a14:compatExt spid="_x0000_s318465"/>
                </a:ext>
                <a:ext uri="{FF2B5EF4-FFF2-40B4-BE49-F238E27FC236}">
                  <a16:creationId xmlns:a16="http://schemas.microsoft.com/office/drawing/2014/main" id="{00000000-0008-0000-0B00-000001D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800" b="1" i="0" u="none" strike="noStrike" baseline="0">
                  <a:solidFill>
                    <a:srgbClr val="0000FF"/>
                  </a:solidFill>
                  <a:latin typeface="Arial"/>
                </a:rPr>
                <a:t>Goto Test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295275</xdr:colOff>
      <xdr:row>8</xdr:row>
      <xdr:rowOff>161925</xdr:rowOff>
    </xdr:from>
    <xdr:to>
      <xdr:col>6</xdr:col>
      <xdr:colOff>1314450</xdr:colOff>
      <xdr:row>9</xdr:row>
      <xdr:rowOff>247650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>
          <a:spLocks noChangeArrowheads="1"/>
        </xdr:cNvSpPr>
      </xdr:nvSpPr>
      <xdr:spPr bwMode="auto">
        <a:xfrm>
          <a:off x="2228850" y="2543175"/>
          <a:ext cx="1019175" cy="371475"/>
        </a:xfrm>
        <a:prstGeom prst="rect">
          <a:avLst/>
        </a:prstGeom>
        <a:solidFill>
          <a:srgbClr val="254061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8</xdr:row>
          <xdr:rowOff>236220</xdr:rowOff>
        </xdr:from>
        <xdr:to>
          <xdr:col>6</xdr:col>
          <xdr:colOff>1219200</xdr:colOff>
          <xdr:row>9</xdr:row>
          <xdr:rowOff>160020</xdr:rowOff>
        </xdr:to>
        <xdr:sp macro="" textlink="">
          <xdr:nvSpPr>
            <xdr:cNvPr id="319489" name="Button 1" hidden="1">
              <a:extLst>
                <a:ext uri="{63B3BB69-23CF-44E3-9099-C40C66FF867C}">
                  <a14:compatExt spid="_x0000_s319489"/>
                </a:ext>
                <a:ext uri="{FF2B5EF4-FFF2-40B4-BE49-F238E27FC236}">
                  <a16:creationId xmlns:a16="http://schemas.microsoft.com/office/drawing/2014/main" id="{00000000-0008-0000-0C00-000001E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800" b="1" i="0" u="none" strike="noStrike" baseline="0">
                  <a:solidFill>
                    <a:srgbClr val="0000FF"/>
                  </a:solidFill>
                  <a:latin typeface="Arial"/>
                </a:rPr>
                <a:t>Goto Test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295275</xdr:colOff>
      <xdr:row>8</xdr:row>
      <xdr:rowOff>161925</xdr:rowOff>
    </xdr:from>
    <xdr:to>
      <xdr:col>6</xdr:col>
      <xdr:colOff>1314450</xdr:colOff>
      <xdr:row>9</xdr:row>
      <xdr:rowOff>247650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>
          <a:spLocks noChangeArrowheads="1"/>
        </xdr:cNvSpPr>
      </xdr:nvSpPr>
      <xdr:spPr bwMode="auto">
        <a:xfrm>
          <a:off x="2228850" y="2543175"/>
          <a:ext cx="1019175" cy="371475"/>
        </a:xfrm>
        <a:prstGeom prst="rect">
          <a:avLst/>
        </a:prstGeom>
        <a:solidFill>
          <a:srgbClr val="254061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8</xdr:row>
          <xdr:rowOff>236220</xdr:rowOff>
        </xdr:from>
        <xdr:to>
          <xdr:col>6</xdr:col>
          <xdr:colOff>1219200</xdr:colOff>
          <xdr:row>9</xdr:row>
          <xdr:rowOff>160020</xdr:rowOff>
        </xdr:to>
        <xdr:sp macro="" textlink="">
          <xdr:nvSpPr>
            <xdr:cNvPr id="320513" name="Button 1" hidden="1">
              <a:extLst>
                <a:ext uri="{63B3BB69-23CF-44E3-9099-C40C66FF867C}">
                  <a14:compatExt spid="_x0000_s320513"/>
                </a:ext>
                <a:ext uri="{FF2B5EF4-FFF2-40B4-BE49-F238E27FC236}">
                  <a16:creationId xmlns:a16="http://schemas.microsoft.com/office/drawing/2014/main" id="{00000000-0008-0000-0D00-000001E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800" b="1" i="0" u="none" strike="noStrike" baseline="0">
                  <a:solidFill>
                    <a:srgbClr val="0000FF"/>
                  </a:solidFill>
                  <a:latin typeface="Arial"/>
                </a:rPr>
                <a:t>Goto Test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295275</xdr:colOff>
      <xdr:row>8</xdr:row>
      <xdr:rowOff>161925</xdr:rowOff>
    </xdr:from>
    <xdr:to>
      <xdr:col>6</xdr:col>
      <xdr:colOff>1314450</xdr:colOff>
      <xdr:row>9</xdr:row>
      <xdr:rowOff>247650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>
          <a:spLocks noChangeArrowheads="1"/>
        </xdr:cNvSpPr>
      </xdr:nvSpPr>
      <xdr:spPr bwMode="auto">
        <a:xfrm>
          <a:off x="2228850" y="2543175"/>
          <a:ext cx="1019175" cy="371475"/>
        </a:xfrm>
        <a:prstGeom prst="rect">
          <a:avLst/>
        </a:prstGeom>
        <a:solidFill>
          <a:srgbClr val="254061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8</xdr:row>
          <xdr:rowOff>236220</xdr:rowOff>
        </xdr:from>
        <xdr:to>
          <xdr:col>6</xdr:col>
          <xdr:colOff>1219200</xdr:colOff>
          <xdr:row>9</xdr:row>
          <xdr:rowOff>160020</xdr:rowOff>
        </xdr:to>
        <xdr:sp macro="" textlink="">
          <xdr:nvSpPr>
            <xdr:cNvPr id="321537" name="Button 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E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800" b="1" i="0" u="none" strike="noStrike" baseline="0">
                  <a:solidFill>
                    <a:srgbClr val="0000FF"/>
                  </a:solidFill>
                  <a:latin typeface="Arial"/>
                </a:rPr>
                <a:t>Goto Test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295275</xdr:colOff>
      <xdr:row>8</xdr:row>
      <xdr:rowOff>161925</xdr:rowOff>
    </xdr:from>
    <xdr:to>
      <xdr:col>6</xdr:col>
      <xdr:colOff>1314450</xdr:colOff>
      <xdr:row>9</xdr:row>
      <xdr:rowOff>247650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>
          <a:spLocks noChangeArrowheads="1"/>
        </xdr:cNvSpPr>
      </xdr:nvSpPr>
      <xdr:spPr bwMode="auto">
        <a:xfrm>
          <a:off x="2093595" y="2516505"/>
          <a:ext cx="1019175" cy="367665"/>
        </a:xfrm>
        <a:prstGeom prst="rect">
          <a:avLst/>
        </a:prstGeom>
        <a:solidFill>
          <a:srgbClr val="254061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8</xdr:row>
          <xdr:rowOff>236220</xdr:rowOff>
        </xdr:from>
        <xdr:to>
          <xdr:col>6</xdr:col>
          <xdr:colOff>1219200</xdr:colOff>
          <xdr:row>9</xdr:row>
          <xdr:rowOff>160020</xdr:rowOff>
        </xdr:to>
        <xdr:sp macro="" textlink="">
          <xdr:nvSpPr>
            <xdr:cNvPr id="328705" name="Button 1" hidden="1">
              <a:extLst>
                <a:ext uri="{63B3BB69-23CF-44E3-9099-C40C66FF867C}">
                  <a14:compatExt spid="_x0000_s328705"/>
                </a:ext>
                <a:ext uri="{FF2B5EF4-FFF2-40B4-BE49-F238E27FC236}">
                  <a16:creationId xmlns:a16="http://schemas.microsoft.com/office/drawing/2014/main" id="{00000000-0008-0000-0F00-0000010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800" b="1" i="0" u="none" strike="noStrike" baseline="0">
                  <a:solidFill>
                    <a:srgbClr val="0000FF"/>
                  </a:solidFill>
                  <a:latin typeface="Arial"/>
                </a:rPr>
                <a:t>Goto Test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295275</xdr:colOff>
      <xdr:row>8</xdr:row>
      <xdr:rowOff>161925</xdr:rowOff>
    </xdr:from>
    <xdr:to>
      <xdr:col>6</xdr:col>
      <xdr:colOff>1314450</xdr:colOff>
      <xdr:row>9</xdr:row>
      <xdr:rowOff>247650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>
          <a:spLocks noChangeArrowheads="1"/>
        </xdr:cNvSpPr>
      </xdr:nvSpPr>
      <xdr:spPr bwMode="auto">
        <a:xfrm>
          <a:off x="2093595" y="2516505"/>
          <a:ext cx="1019175" cy="367665"/>
        </a:xfrm>
        <a:prstGeom prst="rect">
          <a:avLst/>
        </a:prstGeom>
        <a:solidFill>
          <a:srgbClr val="254061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8</xdr:row>
          <xdr:rowOff>236220</xdr:rowOff>
        </xdr:from>
        <xdr:to>
          <xdr:col>6</xdr:col>
          <xdr:colOff>1219200</xdr:colOff>
          <xdr:row>9</xdr:row>
          <xdr:rowOff>160020</xdr:rowOff>
        </xdr:to>
        <xdr:sp macro="" textlink="">
          <xdr:nvSpPr>
            <xdr:cNvPr id="333825" name="Button 1" hidden="1">
              <a:extLst>
                <a:ext uri="{63B3BB69-23CF-44E3-9099-C40C66FF867C}">
                  <a14:compatExt spid="_x0000_s333825"/>
                </a:ext>
                <a:ext uri="{FF2B5EF4-FFF2-40B4-BE49-F238E27FC236}">
                  <a16:creationId xmlns:a16="http://schemas.microsoft.com/office/drawing/2014/main" id="{00000000-0008-0000-1000-000001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800" b="1" i="0" u="none" strike="noStrike" baseline="0">
                  <a:solidFill>
                    <a:srgbClr val="0000FF"/>
                  </a:solidFill>
                  <a:latin typeface="Arial"/>
                </a:rPr>
                <a:t>Goto Test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295275</xdr:colOff>
      <xdr:row>8</xdr:row>
      <xdr:rowOff>161925</xdr:rowOff>
    </xdr:from>
    <xdr:to>
      <xdr:col>6</xdr:col>
      <xdr:colOff>1314450</xdr:colOff>
      <xdr:row>9</xdr:row>
      <xdr:rowOff>247650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>
          <a:spLocks noChangeArrowheads="1"/>
        </xdr:cNvSpPr>
      </xdr:nvSpPr>
      <xdr:spPr bwMode="auto">
        <a:xfrm>
          <a:off x="2093595" y="2516505"/>
          <a:ext cx="1019175" cy="367665"/>
        </a:xfrm>
        <a:prstGeom prst="rect">
          <a:avLst/>
        </a:prstGeom>
        <a:solidFill>
          <a:srgbClr val="254061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8</xdr:row>
          <xdr:rowOff>236220</xdr:rowOff>
        </xdr:from>
        <xdr:to>
          <xdr:col>6</xdr:col>
          <xdr:colOff>1219200</xdr:colOff>
          <xdr:row>9</xdr:row>
          <xdr:rowOff>160020</xdr:rowOff>
        </xdr:to>
        <xdr:sp macro="" textlink="">
          <xdr:nvSpPr>
            <xdr:cNvPr id="334849" name="Button 1" hidden="1">
              <a:extLst>
                <a:ext uri="{63B3BB69-23CF-44E3-9099-C40C66FF867C}">
                  <a14:compatExt spid="_x0000_s334849"/>
                </a:ext>
                <a:ext uri="{FF2B5EF4-FFF2-40B4-BE49-F238E27FC236}">
                  <a16:creationId xmlns:a16="http://schemas.microsoft.com/office/drawing/2014/main" id="{00000000-0008-0000-1100-000001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800" b="1" i="0" u="none" strike="noStrike" baseline="0">
                  <a:solidFill>
                    <a:srgbClr val="0000FF"/>
                  </a:solidFill>
                  <a:latin typeface="Arial"/>
                </a:rPr>
                <a:t>Goto Test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295275</xdr:colOff>
      <xdr:row>8</xdr:row>
      <xdr:rowOff>161925</xdr:rowOff>
    </xdr:from>
    <xdr:to>
      <xdr:col>6</xdr:col>
      <xdr:colOff>1314450</xdr:colOff>
      <xdr:row>9</xdr:row>
      <xdr:rowOff>247650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>
          <a:spLocks noChangeArrowheads="1"/>
        </xdr:cNvSpPr>
      </xdr:nvSpPr>
      <xdr:spPr bwMode="auto">
        <a:xfrm>
          <a:off x="2093595" y="2516505"/>
          <a:ext cx="1019175" cy="367665"/>
        </a:xfrm>
        <a:prstGeom prst="rect">
          <a:avLst/>
        </a:prstGeom>
        <a:solidFill>
          <a:srgbClr val="254061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8</xdr:row>
          <xdr:rowOff>236220</xdr:rowOff>
        </xdr:from>
        <xdr:to>
          <xdr:col>6</xdr:col>
          <xdr:colOff>1219200</xdr:colOff>
          <xdr:row>9</xdr:row>
          <xdr:rowOff>160020</xdr:rowOff>
        </xdr:to>
        <xdr:sp macro="" textlink="">
          <xdr:nvSpPr>
            <xdr:cNvPr id="335873" name="Button 1" hidden="1">
              <a:extLst>
                <a:ext uri="{63B3BB69-23CF-44E3-9099-C40C66FF867C}">
                  <a14:compatExt spid="_x0000_s335873"/>
                </a:ext>
                <a:ext uri="{FF2B5EF4-FFF2-40B4-BE49-F238E27FC236}">
                  <a16:creationId xmlns:a16="http://schemas.microsoft.com/office/drawing/2014/main" id="{00000000-0008-0000-1200-000001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800" b="1" i="0" u="none" strike="noStrike" baseline="0">
                  <a:solidFill>
                    <a:srgbClr val="0000FF"/>
                  </a:solidFill>
                  <a:latin typeface="Arial"/>
                </a:rPr>
                <a:t>Goto Test Case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://13.250.227.94:7001/EDINTRAWeb/jsp/prc/PRCE0009.jsp" TargetMode="External"/><Relationship Id="rId3" Type="http://schemas.openxmlformats.org/officeDocument/2006/relationships/hyperlink" Target="http://13.250.227.94:7001/EDINTRAWeb/jsp/prc/PRCE0004.jsp" TargetMode="External"/><Relationship Id="rId7" Type="http://schemas.openxmlformats.org/officeDocument/2006/relationships/hyperlink" Target="http://13.250.227.94:7001/EDINTRAWeb/jsp/rdb/RDBE0051.jsp" TargetMode="External"/><Relationship Id="rId2" Type="http://schemas.openxmlformats.org/officeDocument/2006/relationships/hyperlink" Target="http://13.250.227.94:7001/EDINTRAWeb/jsp/prc/PRCE0003.jsp" TargetMode="External"/><Relationship Id="rId1" Type="http://schemas.openxmlformats.org/officeDocument/2006/relationships/hyperlink" Target="http://13.250.227.94:7001/EDINTRAWeb/jsp/prc/PRCE0002.jsp" TargetMode="External"/><Relationship Id="rId6" Type="http://schemas.openxmlformats.org/officeDocument/2006/relationships/hyperlink" Target="http://13.250.227.94:7001/EDINTRAWeb/jsp/prc/PRCE0007L.jsp" TargetMode="External"/><Relationship Id="rId5" Type="http://schemas.openxmlformats.org/officeDocument/2006/relationships/hyperlink" Target="http://13.250.227.94:7001/EDINTRAWeb/jsp/prc/PRCE0007.jsp" TargetMode="External"/><Relationship Id="rId10" Type="http://schemas.openxmlformats.org/officeDocument/2006/relationships/hyperlink" Target="http://13.250.227.94:7001/ED-WEB/" TargetMode="External"/><Relationship Id="rId4" Type="http://schemas.openxmlformats.org/officeDocument/2006/relationships/hyperlink" Target="http://13.250.227.94:7001/EDINTRAWeb/jsp/prc/PRCE0005.jsp" TargetMode="External"/><Relationship Id="rId9" Type="http://schemas.openxmlformats.org/officeDocument/2006/relationships/hyperlink" Target="http://13.250.227.94:7001/EDINTRAWeb/jsp/prc/PRCE0010.jsp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://13.250.227.94:7001/ED-WEB/" TargetMode="External"/><Relationship Id="rId6" Type="http://schemas.openxmlformats.org/officeDocument/2006/relationships/ctrlProp" Target="../ctrlProps/ctrlProp7.xml"/><Relationship Id="rId5" Type="http://schemas.openxmlformats.org/officeDocument/2006/relationships/vmlDrawing" Target="../drawings/vmlDrawing10.vml"/><Relationship Id="rId4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8.xml"/><Relationship Id="rId4" Type="http://schemas.openxmlformats.org/officeDocument/2006/relationships/vmlDrawing" Target="../drawings/vmlDrawing12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http://13.250.227.94:7001/ED-WEB/" TargetMode="External"/><Relationship Id="rId6" Type="http://schemas.openxmlformats.org/officeDocument/2006/relationships/ctrlProp" Target="../ctrlProps/ctrlProp9.xml"/><Relationship Id="rId5" Type="http://schemas.openxmlformats.org/officeDocument/2006/relationships/vmlDrawing" Target="../drawings/vmlDrawing14.vml"/><Relationship Id="rId4" Type="http://schemas.openxmlformats.org/officeDocument/2006/relationships/vmlDrawing" Target="../drawings/vmlDrawing13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://13.250.227.94:7001/modelcode" TargetMode="External"/><Relationship Id="rId6" Type="http://schemas.openxmlformats.org/officeDocument/2006/relationships/ctrlProp" Target="../ctrlProps/ctrlProp10.xml"/><Relationship Id="rId5" Type="http://schemas.openxmlformats.org/officeDocument/2006/relationships/vmlDrawing" Target="../drawings/vmlDrawing16.vml"/><Relationship Id="rId4" Type="http://schemas.openxmlformats.org/officeDocument/2006/relationships/vmlDrawing" Target="../drawings/vmlDrawing15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http://13.250.227.94:7001/modelcode" TargetMode="External"/><Relationship Id="rId6" Type="http://schemas.openxmlformats.org/officeDocument/2006/relationships/ctrlProp" Target="../ctrlProps/ctrlProp11.xml"/><Relationship Id="rId5" Type="http://schemas.openxmlformats.org/officeDocument/2006/relationships/vmlDrawing" Target="../drawings/vmlDrawing18.vml"/><Relationship Id="rId4" Type="http://schemas.openxmlformats.org/officeDocument/2006/relationships/vmlDrawing" Target="../drawings/vmlDrawing17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://13.250.227.94:7001/modelsize" TargetMode="External"/><Relationship Id="rId6" Type="http://schemas.openxmlformats.org/officeDocument/2006/relationships/ctrlProp" Target="../ctrlProps/ctrlProp12.xml"/><Relationship Id="rId5" Type="http://schemas.openxmlformats.org/officeDocument/2006/relationships/vmlDrawing" Target="../drawings/vmlDrawing20.vml"/><Relationship Id="rId4" Type="http://schemas.openxmlformats.org/officeDocument/2006/relationships/vmlDrawing" Target="../drawings/vmlDrawing19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http://13.250.227.94:7001/modelsize" TargetMode="External"/><Relationship Id="rId6" Type="http://schemas.openxmlformats.org/officeDocument/2006/relationships/ctrlProp" Target="../ctrlProps/ctrlProp13.xml"/><Relationship Id="rId5" Type="http://schemas.openxmlformats.org/officeDocument/2006/relationships/vmlDrawing" Target="../drawings/vmlDrawing22.vml"/><Relationship Id="rId4" Type="http://schemas.openxmlformats.org/officeDocument/2006/relationships/vmlDrawing" Target="../drawings/vmlDrawing21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http://13.250.227.94:7001/EDINTRAWeb/jsp/prc/PRCE0007.jsp" TargetMode="External"/><Relationship Id="rId6" Type="http://schemas.openxmlformats.org/officeDocument/2006/relationships/ctrlProp" Target="../ctrlProps/ctrlProp14.xml"/><Relationship Id="rId5" Type="http://schemas.openxmlformats.org/officeDocument/2006/relationships/vmlDrawing" Target="../drawings/vmlDrawing24.vml"/><Relationship Id="rId4" Type="http://schemas.openxmlformats.org/officeDocument/2006/relationships/vmlDrawing" Target="../drawings/vmlDrawing23.v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6.bin"/><Relationship Id="rId1" Type="http://schemas.openxmlformats.org/officeDocument/2006/relationships/hyperlink" Target="http://13.250.227.94:7001/EDINTRAWeb/jsp/prc/PRCE0007.jsp" TargetMode="External"/><Relationship Id="rId6" Type="http://schemas.openxmlformats.org/officeDocument/2006/relationships/ctrlProp" Target="../ctrlProps/ctrlProp15.xml"/><Relationship Id="rId5" Type="http://schemas.openxmlformats.org/officeDocument/2006/relationships/vmlDrawing" Target="../drawings/vmlDrawing26.vml"/><Relationship Id="rId4" Type="http://schemas.openxmlformats.org/officeDocument/2006/relationships/vmlDrawing" Target="../drawings/vmlDrawing25.v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5" Type="http://schemas.openxmlformats.org/officeDocument/2006/relationships/ctrlProp" Target="../ctrlProps/ctrlProp16.xml"/><Relationship Id="rId4" Type="http://schemas.openxmlformats.org/officeDocument/2006/relationships/vmlDrawing" Target="../drawings/vmlDrawing28.v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5" Type="http://schemas.openxmlformats.org/officeDocument/2006/relationships/ctrlProp" Target="../ctrlProps/ctrlProp17.xml"/><Relationship Id="rId4" Type="http://schemas.openxmlformats.org/officeDocument/2006/relationships/vmlDrawing" Target="../drawings/vmlDrawing30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3:E31"/>
  <sheetViews>
    <sheetView showGridLines="0" zoomScale="106" zoomScaleNormal="106" workbookViewId="0">
      <selection activeCell="D31" sqref="D31"/>
    </sheetView>
  </sheetViews>
  <sheetFormatPr defaultColWidth="9.28515625" defaultRowHeight="22.8"/>
  <cols>
    <col min="1" max="1" width="11" style="46" customWidth="1"/>
    <col min="2" max="4" width="37.85546875" style="46" customWidth="1"/>
    <col min="5" max="6" width="26.7109375" style="46" customWidth="1"/>
    <col min="7" max="7" width="25" style="46" customWidth="1"/>
    <col min="8" max="10" width="16.7109375" style="46" customWidth="1"/>
    <col min="11" max="12" width="12.28515625" style="46" customWidth="1"/>
    <col min="13" max="16384" width="9.28515625" style="46"/>
  </cols>
  <sheetData>
    <row r="3" spans="1:5" ht="32.4">
      <c r="A3" s="47"/>
    </row>
    <row r="4" spans="1:5" ht="32.4">
      <c r="B4" s="48"/>
    </row>
    <row r="9" spans="1:5">
      <c r="E9" s="49"/>
    </row>
    <row r="14" spans="1:5" ht="46.2">
      <c r="D14" s="50" t="s">
        <v>39</v>
      </c>
    </row>
    <row r="15" spans="1:5" ht="30.6">
      <c r="D15" s="300" t="s">
        <v>75</v>
      </c>
    </row>
    <row r="16" spans="1:5" ht="24.6">
      <c r="D16" s="299" t="s">
        <v>967</v>
      </c>
    </row>
    <row r="29" spans="3:4" ht="24">
      <c r="D29" s="51"/>
    </row>
    <row r="30" spans="3:4">
      <c r="C30" s="119" t="s">
        <v>58</v>
      </c>
      <c r="D30" s="122">
        <f>MAX('Document History'!B4:B33)</f>
        <v>43332</v>
      </c>
    </row>
    <row r="31" spans="3:4">
      <c r="C31" s="119" t="s">
        <v>2</v>
      </c>
      <c r="D31" s="120" t="s">
        <v>968</v>
      </c>
    </row>
  </sheetData>
  <pageMargins left="0.7" right="0.7" top="0.75" bottom="0.75" header="0.3" footer="0.3"/>
  <pageSetup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D33"/>
  <sheetViews>
    <sheetView showGridLines="0" workbookViewId="0">
      <selection activeCell="D5" sqref="D5:D6"/>
    </sheetView>
  </sheetViews>
  <sheetFormatPr defaultColWidth="9.28515625" defaultRowHeight="19.8"/>
  <cols>
    <col min="1" max="1" width="19.28515625" style="53" customWidth="1"/>
    <col min="2" max="2" width="19.140625" style="53" customWidth="1"/>
    <col min="3" max="3" width="23.7109375" style="53" customWidth="1"/>
    <col min="4" max="4" width="43.28515625" style="53" customWidth="1"/>
    <col min="5" max="16384" width="9.28515625" style="53"/>
  </cols>
  <sheetData>
    <row r="1" spans="1:4" ht="8.25" customHeight="1">
      <c r="A1" s="52"/>
      <c r="B1" s="52"/>
      <c r="C1" s="52"/>
      <c r="D1" s="52"/>
    </row>
    <row r="2" spans="1:4" ht="24">
      <c r="A2" s="54" t="s">
        <v>0</v>
      </c>
      <c r="B2" s="55"/>
      <c r="C2" s="55"/>
      <c r="D2" s="55"/>
    </row>
    <row r="3" spans="1:4" ht="20.399999999999999">
      <c r="A3" s="56" t="s">
        <v>2</v>
      </c>
      <c r="B3" s="56" t="s">
        <v>1</v>
      </c>
      <c r="C3" s="56" t="s">
        <v>40</v>
      </c>
      <c r="D3" s="56" t="s">
        <v>41</v>
      </c>
    </row>
    <row r="4" spans="1:4">
      <c r="A4" s="123" t="s">
        <v>57</v>
      </c>
      <c r="B4" s="121">
        <v>43320</v>
      </c>
      <c r="C4" s="58" t="s">
        <v>76</v>
      </c>
      <c r="D4" s="58" t="s">
        <v>73</v>
      </c>
    </row>
    <row r="5" spans="1:4">
      <c r="A5" s="123" t="s">
        <v>640</v>
      </c>
      <c r="B5" s="121">
        <v>43327</v>
      </c>
      <c r="C5" s="58" t="s">
        <v>240</v>
      </c>
      <c r="D5" s="58" t="s">
        <v>641</v>
      </c>
    </row>
    <row r="6" spans="1:4">
      <c r="A6" s="123" t="s">
        <v>968</v>
      </c>
      <c r="B6" s="121">
        <v>43332</v>
      </c>
      <c r="C6" s="58" t="s">
        <v>240</v>
      </c>
      <c r="D6" s="58" t="s">
        <v>641</v>
      </c>
    </row>
    <row r="7" spans="1:4">
      <c r="A7" s="57"/>
      <c r="B7" s="121"/>
      <c r="C7" s="58"/>
      <c r="D7" s="58"/>
    </row>
    <row r="8" spans="1:4">
      <c r="A8" s="57"/>
      <c r="B8" s="121"/>
      <c r="C8" s="58"/>
      <c r="D8" s="58"/>
    </row>
    <row r="9" spans="1:4">
      <c r="A9" s="57"/>
      <c r="B9" s="121"/>
      <c r="C9" s="58"/>
      <c r="D9" s="58"/>
    </row>
    <row r="10" spans="1:4">
      <c r="A10" s="57"/>
      <c r="B10" s="121"/>
      <c r="C10" s="58"/>
      <c r="D10" s="58"/>
    </row>
    <row r="11" spans="1:4">
      <c r="A11" s="57"/>
      <c r="B11" s="121"/>
      <c r="C11" s="58"/>
      <c r="D11" s="58"/>
    </row>
    <row r="12" spans="1:4">
      <c r="A12" s="57"/>
      <c r="B12" s="121"/>
      <c r="C12" s="58"/>
      <c r="D12" s="58"/>
    </row>
    <row r="13" spans="1:4">
      <c r="A13" s="57"/>
      <c r="B13" s="121"/>
      <c r="C13" s="58"/>
      <c r="D13" s="58"/>
    </row>
    <row r="14" spans="1:4">
      <c r="A14" s="57"/>
      <c r="B14" s="121"/>
      <c r="C14" s="58"/>
      <c r="D14" s="58"/>
    </row>
    <row r="15" spans="1:4">
      <c r="A15" s="57"/>
      <c r="B15" s="121"/>
      <c r="C15" s="58"/>
      <c r="D15" s="58"/>
    </row>
    <row r="16" spans="1:4">
      <c r="A16" s="57"/>
      <c r="B16" s="121"/>
      <c r="C16" s="58"/>
      <c r="D16" s="58"/>
    </row>
    <row r="17" spans="1:4">
      <c r="A17" s="57"/>
      <c r="B17" s="121"/>
      <c r="C17" s="58"/>
      <c r="D17" s="58"/>
    </row>
    <row r="18" spans="1:4">
      <c r="A18" s="57"/>
      <c r="B18" s="121"/>
      <c r="C18" s="58"/>
      <c r="D18" s="58"/>
    </row>
    <row r="19" spans="1:4">
      <c r="A19" s="57"/>
      <c r="B19" s="121"/>
      <c r="C19" s="58"/>
      <c r="D19" s="58"/>
    </row>
    <row r="20" spans="1:4">
      <c r="A20" s="57"/>
      <c r="B20" s="121"/>
      <c r="C20" s="58"/>
      <c r="D20" s="58"/>
    </row>
    <row r="21" spans="1:4">
      <c r="A21" s="57"/>
      <c r="B21" s="121"/>
      <c r="C21" s="58"/>
      <c r="D21" s="58"/>
    </row>
    <row r="22" spans="1:4">
      <c r="A22" s="57"/>
      <c r="B22" s="121"/>
      <c r="C22" s="58"/>
      <c r="D22" s="58"/>
    </row>
    <row r="23" spans="1:4">
      <c r="A23" s="57"/>
      <c r="B23" s="121"/>
      <c r="C23" s="58"/>
      <c r="D23" s="58"/>
    </row>
    <row r="24" spans="1:4">
      <c r="A24" s="57"/>
      <c r="B24" s="121"/>
      <c r="C24" s="58"/>
      <c r="D24" s="58"/>
    </row>
    <row r="25" spans="1:4">
      <c r="A25" s="57"/>
      <c r="B25" s="121"/>
      <c r="C25" s="58"/>
      <c r="D25" s="58"/>
    </row>
    <row r="26" spans="1:4">
      <c r="A26" s="57"/>
      <c r="B26" s="121"/>
      <c r="C26" s="58"/>
      <c r="D26" s="58"/>
    </row>
    <row r="27" spans="1:4">
      <c r="A27" s="57"/>
      <c r="B27" s="121"/>
      <c r="C27" s="58"/>
      <c r="D27" s="58"/>
    </row>
    <row r="28" spans="1:4">
      <c r="A28" s="57"/>
      <c r="B28" s="121"/>
      <c r="C28" s="58"/>
      <c r="D28" s="58"/>
    </row>
    <row r="29" spans="1:4">
      <c r="A29" s="57"/>
      <c r="B29" s="121"/>
      <c r="C29" s="58"/>
      <c r="D29" s="58"/>
    </row>
    <row r="30" spans="1:4">
      <c r="A30" s="57"/>
      <c r="B30" s="121"/>
      <c r="C30" s="58"/>
      <c r="D30" s="58"/>
    </row>
    <row r="31" spans="1:4">
      <c r="A31" s="57"/>
      <c r="B31" s="121"/>
      <c r="C31" s="58"/>
      <c r="D31" s="58"/>
    </row>
    <row r="32" spans="1:4">
      <c r="A32" s="57"/>
      <c r="B32" s="121"/>
      <c r="C32" s="58"/>
      <c r="D32" s="58"/>
    </row>
    <row r="33" spans="1:4">
      <c r="A33" s="57"/>
      <c r="B33" s="121"/>
      <c r="C33" s="58"/>
      <c r="D33" s="58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S218"/>
  <sheetViews>
    <sheetView topLeftCell="A73" zoomScaleNormal="100" workbookViewId="0">
      <selection sqref="A1:J3"/>
    </sheetView>
  </sheetViews>
  <sheetFormatPr defaultColWidth="9.28515625" defaultRowHeight="10.199999999999999"/>
  <cols>
    <col min="1" max="16384" width="9.28515625" style="38"/>
  </cols>
  <sheetData>
    <row r="1" spans="1:10">
      <c r="A1" s="464" t="s">
        <v>32</v>
      </c>
      <c r="B1" s="464"/>
      <c r="C1" s="464"/>
      <c r="D1" s="464"/>
      <c r="E1" s="464"/>
      <c r="F1" s="464"/>
      <c r="G1" s="464"/>
      <c r="H1" s="464"/>
      <c r="I1" s="464"/>
      <c r="J1" s="464"/>
    </row>
    <row r="2" spans="1:10">
      <c r="A2" s="464"/>
      <c r="B2" s="464"/>
      <c r="C2" s="464"/>
      <c r="D2" s="464"/>
      <c r="E2" s="464"/>
      <c r="F2" s="464"/>
      <c r="G2" s="464"/>
      <c r="H2" s="464"/>
      <c r="I2" s="464"/>
      <c r="J2" s="464"/>
    </row>
    <row r="3" spans="1:10">
      <c r="A3" s="464"/>
      <c r="B3" s="464"/>
      <c r="C3" s="464"/>
      <c r="D3" s="464"/>
      <c r="E3" s="464"/>
      <c r="F3" s="464"/>
      <c r="G3" s="464"/>
      <c r="H3" s="464"/>
      <c r="I3" s="464"/>
      <c r="J3" s="464"/>
    </row>
    <row r="36" spans="1:12" ht="17.399999999999999">
      <c r="L36" s="39" t="s">
        <v>31</v>
      </c>
    </row>
    <row r="43" spans="1:12" ht="17.399999999999999">
      <c r="L43" s="39"/>
    </row>
    <row r="46" spans="1:12">
      <c r="A46" s="465" t="s">
        <v>30</v>
      </c>
      <c r="B46" s="465"/>
      <c r="C46" s="465"/>
      <c r="D46" s="465"/>
      <c r="E46" s="465"/>
      <c r="F46" s="465"/>
      <c r="G46" s="465"/>
      <c r="H46" s="465"/>
      <c r="I46" s="465"/>
      <c r="J46" s="465"/>
    </row>
    <row r="47" spans="1:12">
      <c r="A47" s="465"/>
      <c r="B47" s="465"/>
      <c r="C47" s="465"/>
      <c r="D47" s="465"/>
      <c r="E47" s="465"/>
      <c r="F47" s="465"/>
      <c r="G47" s="465"/>
      <c r="H47" s="465"/>
      <c r="I47" s="465"/>
      <c r="J47" s="465"/>
    </row>
    <row r="48" spans="1:12">
      <c r="A48" s="465"/>
      <c r="B48" s="465"/>
      <c r="C48" s="465"/>
      <c r="D48" s="465"/>
      <c r="E48" s="465"/>
      <c r="F48" s="465"/>
      <c r="G48" s="465"/>
      <c r="H48" s="465"/>
      <c r="I48" s="465"/>
      <c r="J48" s="465"/>
    </row>
    <row r="86" spans="1:19" ht="17.399999999999999">
      <c r="S86" s="39"/>
    </row>
    <row r="87" spans="1:19" ht="13.8">
      <c r="A87" s="43" t="s">
        <v>29</v>
      </c>
    </row>
    <row r="88" spans="1:19" ht="13.8">
      <c r="A88" s="42" t="s">
        <v>34</v>
      </c>
      <c r="B88" s="41"/>
    </row>
    <row r="89" spans="1:19" ht="13.8">
      <c r="A89" s="40" t="s">
        <v>28</v>
      </c>
    </row>
    <row r="126" spans="1:13" ht="17.399999999999999">
      <c r="M126" s="39"/>
    </row>
    <row r="128" spans="1:13" ht="13.8">
      <c r="A128" s="40" t="s">
        <v>27</v>
      </c>
    </row>
    <row r="166" spans="1:13" ht="17.399999999999999">
      <c r="M166" s="39"/>
    </row>
    <row r="173" spans="1:13" ht="17.399999999999999">
      <c r="M173" s="44"/>
    </row>
    <row r="175" spans="1:13" ht="13.8">
      <c r="A175" s="40" t="s">
        <v>37</v>
      </c>
    </row>
    <row r="212" spans="12:13" ht="17.399999999999999">
      <c r="L212" s="39" t="s">
        <v>26</v>
      </c>
    </row>
    <row r="218" spans="12:13" ht="17.399999999999999">
      <c r="M218" s="44"/>
    </row>
  </sheetData>
  <mergeCells count="2">
    <mergeCell ref="A1:J3"/>
    <mergeCell ref="A46:J48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AR24"/>
  <sheetViews>
    <sheetView showGridLines="0" topLeftCell="C5" zoomScale="90" zoomScaleNormal="90" workbookViewId="0">
      <selection activeCell="G24" sqref="G24"/>
    </sheetView>
  </sheetViews>
  <sheetFormatPr defaultColWidth="10.85546875" defaultRowHeight="15" customHeight="1"/>
  <cols>
    <col min="1" max="1" width="18.140625" style="22" hidden="1" customWidth="1"/>
    <col min="2" max="2" width="21" style="22" hidden="1" customWidth="1"/>
    <col min="3" max="3" width="24.140625" style="22" customWidth="1"/>
    <col min="4" max="4" width="33.140625" style="26" customWidth="1"/>
    <col min="5" max="5" width="14.85546875" style="21" hidden="1" customWidth="1"/>
    <col min="6" max="6" width="26.85546875" style="21" customWidth="1"/>
    <col min="7" max="7" width="32.140625" style="21" customWidth="1"/>
    <col min="8" max="10" width="18.7109375" style="27" customWidth="1"/>
    <col min="11" max="11" width="15.42578125" style="27" customWidth="1"/>
    <col min="12" max="42" width="7" style="27" customWidth="1"/>
    <col min="43" max="43" width="13.28515625" style="76" customWidth="1"/>
    <col min="44" max="44" width="10.85546875" style="22"/>
    <col min="45" max="16384" width="10.85546875" style="21"/>
  </cols>
  <sheetData>
    <row r="1" spans="1:44" s="16" customFormat="1" ht="21.75" hidden="1" customHeight="1">
      <c r="A1" s="15" t="s">
        <v>67</v>
      </c>
      <c r="B1" s="15"/>
      <c r="C1" s="15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78"/>
      <c r="AR1" s="79"/>
    </row>
    <row r="2" spans="1:44" s="16" customFormat="1" ht="19.5" hidden="1" customHeight="1">
      <c r="A2" s="15" t="s">
        <v>67</v>
      </c>
      <c r="B2" s="15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78"/>
      <c r="AR2" s="79"/>
    </row>
    <row r="3" spans="1:44" s="16" customFormat="1" ht="1.5" hidden="1" customHeight="1">
      <c r="A3" s="15"/>
      <c r="B3" s="15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78"/>
      <c r="AR3" s="79"/>
    </row>
    <row r="4" spans="1:44" s="16" customFormat="1" ht="26.25" hidden="1" customHeight="1">
      <c r="A4" s="15"/>
      <c r="B4" s="15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78"/>
      <c r="AR4" s="79"/>
    </row>
    <row r="5" spans="1:44" s="16" customFormat="1" ht="12" customHeight="1">
      <c r="A5" s="15"/>
      <c r="B5" s="15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  <c r="AQ5" s="78"/>
      <c r="AR5" s="79"/>
    </row>
    <row r="6" spans="1:44" s="18" customFormat="1" ht="13.8" thickBot="1">
      <c r="A6" s="59"/>
      <c r="B6" s="59"/>
      <c r="F6" s="60"/>
      <c r="G6" s="60"/>
      <c r="H6" s="19"/>
      <c r="I6" s="19"/>
      <c r="J6" s="19"/>
      <c r="K6" s="19"/>
      <c r="AQ6" s="80"/>
      <c r="AR6" s="80"/>
    </row>
    <row r="7" spans="1:44" s="18" customFormat="1" ht="26.25" customHeight="1" thickBot="1">
      <c r="A7" s="59"/>
      <c r="C7" s="28" t="s">
        <v>14</v>
      </c>
      <c r="D7" s="67" t="s">
        <v>92</v>
      </c>
      <c r="E7" s="45"/>
      <c r="F7" s="30" t="s">
        <v>16</v>
      </c>
      <c r="G7" s="466" t="s">
        <v>72</v>
      </c>
      <c r="H7" s="466"/>
      <c r="I7" s="19"/>
      <c r="J7" s="19"/>
      <c r="K7" s="19"/>
      <c r="AQ7" s="80"/>
      <c r="AR7" s="80"/>
    </row>
    <row r="8" spans="1:44" s="18" customFormat="1" ht="26.25" customHeight="1">
      <c r="A8" s="59"/>
      <c r="C8" s="29" t="s">
        <v>33</v>
      </c>
      <c r="D8" s="133" t="s">
        <v>75</v>
      </c>
      <c r="E8" s="45"/>
      <c r="F8" s="29" t="s">
        <v>49</v>
      </c>
      <c r="G8" s="467" t="s">
        <v>67</v>
      </c>
      <c r="H8" s="468"/>
      <c r="I8" s="19"/>
      <c r="J8" s="19"/>
      <c r="K8" s="19"/>
      <c r="AQ8" s="80"/>
      <c r="AR8" s="80"/>
    </row>
    <row r="9" spans="1:44" s="18" customFormat="1" ht="26.25" customHeight="1">
      <c r="A9" s="59"/>
      <c r="C9" s="29" t="s">
        <v>15</v>
      </c>
      <c r="D9" s="127" t="s">
        <v>56</v>
      </c>
      <c r="E9" s="45"/>
      <c r="F9" s="29" t="s">
        <v>50</v>
      </c>
      <c r="G9" s="469" t="s">
        <v>68</v>
      </c>
      <c r="H9" s="468"/>
      <c r="I9" s="19"/>
      <c r="J9" s="19"/>
      <c r="K9" s="19"/>
      <c r="AQ9" s="80"/>
      <c r="AR9" s="80"/>
    </row>
    <row r="10" spans="1:44" s="18" customFormat="1" ht="12" customHeight="1">
      <c r="A10" s="59"/>
      <c r="B10" s="59"/>
      <c r="C10" s="59"/>
      <c r="D10" s="20"/>
      <c r="E10" s="62"/>
      <c r="F10" s="63"/>
      <c r="G10" s="61"/>
      <c r="H10" s="19"/>
      <c r="I10" s="19"/>
      <c r="J10" s="19"/>
      <c r="K10" s="19"/>
      <c r="AQ10" s="80"/>
      <c r="AR10" s="80"/>
    </row>
    <row r="11" spans="1:44" s="18" customFormat="1" ht="12" customHeight="1" thickBot="1">
      <c r="A11" s="59"/>
      <c r="B11" s="59"/>
      <c r="C11" s="59"/>
      <c r="D11" s="20"/>
      <c r="E11" s="62"/>
      <c r="F11" s="63"/>
      <c r="G11" s="61"/>
      <c r="H11" s="19"/>
      <c r="I11" s="19"/>
      <c r="J11" s="19"/>
      <c r="K11" s="19"/>
      <c r="AQ11" s="80"/>
      <c r="AR11" s="80"/>
    </row>
    <row r="12" spans="1:44" s="19" customFormat="1" ht="28.5" customHeight="1" thickBot="1">
      <c r="A12" s="64" t="s">
        <v>8</v>
      </c>
      <c r="B12" s="65" t="s">
        <v>7</v>
      </c>
      <c r="C12" s="102" t="s">
        <v>38</v>
      </c>
      <c r="D12" s="102" t="s">
        <v>21</v>
      </c>
      <c r="E12" s="102" t="s">
        <v>35</v>
      </c>
      <c r="F12" s="102" t="s">
        <v>24</v>
      </c>
      <c r="G12" s="102" t="s">
        <v>36</v>
      </c>
      <c r="H12" s="102" t="s">
        <v>25</v>
      </c>
      <c r="I12" s="102" t="s">
        <v>8</v>
      </c>
      <c r="J12" s="102" t="s">
        <v>23</v>
      </c>
      <c r="K12" s="102" t="s">
        <v>48</v>
      </c>
    </row>
    <row r="13" spans="1:44" s="19" customFormat="1" ht="40.5" customHeight="1">
      <c r="A13" s="74" t="str">
        <f t="shared" ref="A13:A14" si="0">I13</f>
        <v>Tanaporn T.</v>
      </c>
      <c r="B13" s="75" t="str">
        <f>F13</f>
        <v>ED_PRC_TC_00001</v>
      </c>
      <c r="C13" s="135" t="s">
        <v>77</v>
      </c>
      <c r="D13" s="135" t="s">
        <v>78</v>
      </c>
      <c r="E13" s="135"/>
      <c r="F13" s="135" t="s">
        <v>93</v>
      </c>
      <c r="G13" s="136" t="s">
        <v>79</v>
      </c>
      <c r="H13" s="137" t="s">
        <v>70</v>
      </c>
      <c r="I13" s="137" t="s">
        <v>76</v>
      </c>
      <c r="J13" s="137" t="s">
        <v>71</v>
      </c>
      <c r="K13" s="69" t="str">
        <f t="shared" ref="K13:K20" ca="1" si="1">IF(ISERR(INDIRECT("'"&amp;F13&amp;"'!M12")),"",IF(INDIRECT("'"&amp;F13&amp;"'!M12")&gt;0,"Fail",IF(INDIRECT("'"&amp;F13&amp;"'!L12")&gt;0,"Pass","")))</f>
        <v>Fail</v>
      </c>
    </row>
    <row r="14" spans="1:44" s="19" customFormat="1" ht="46.5" customHeight="1">
      <c r="A14" s="74" t="str">
        <f t="shared" si="0"/>
        <v>Tanaporn T.</v>
      </c>
      <c r="B14" s="75" t="str">
        <f t="shared" ref="B14" si="2">F14</f>
        <v>ED_PRC_TC_00002</v>
      </c>
      <c r="C14" s="135" t="s">
        <v>77</v>
      </c>
      <c r="D14" s="135" t="s">
        <v>78</v>
      </c>
      <c r="E14" s="135"/>
      <c r="F14" s="135" t="s">
        <v>94</v>
      </c>
      <c r="G14" s="136" t="s">
        <v>80</v>
      </c>
      <c r="H14" s="137" t="s">
        <v>70</v>
      </c>
      <c r="I14" s="137" t="s">
        <v>76</v>
      </c>
      <c r="J14" s="137" t="s">
        <v>71</v>
      </c>
      <c r="K14" s="69" t="str">
        <f t="shared" ca="1" si="1"/>
        <v>Fail</v>
      </c>
      <c r="AQ14" s="77"/>
      <c r="AR14" s="77"/>
    </row>
    <row r="15" spans="1:44" s="19" customFormat="1" ht="50.25" customHeight="1">
      <c r="A15" s="70"/>
      <c r="B15" s="31"/>
      <c r="C15" s="135" t="s">
        <v>81</v>
      </c>
      <c r="D15" s="135" t="s">
        <v>82</v>
      </c>
      <c r="E15" s="135"/>
      <c r="F15" s="135" t="s">
        <v>95</v>
      </c>
      <c r="G15" s="136" t="s">
        <v>83</v>
      </c>
      <c r="H15" s="137" t="s">
        <v>70</v>
      </c>
      <c r="I15" s="137" t="s">
        <v>76</v>
      </c>
      <c r="J15" s="137" t="s">
        <v>71</v>
      </c>
      <c r="K15" s="69" t="str">
        <f t="shared" ca="1" si="1"/>
        <v/>
      </c>
    </row>
    <row r="16" spans="1:44" s="19" customFormat="1" ht="51" customHeight="1">
      <c r="A16" s="70"/>
      <c r="B16" s="31"/>
      <c r="C16" s="135" t="s">
        <v>81</v>
      </c>
      <c r="D16" s="135" t="s">
        <v>82</v>
      </c>
      <c r="E16" s="135"/>
      <c r="F16" s="135" t="s">
        <v>96</v>
      </c>
      <c r="G16" s="136" t="s">
        <v>84</v>
      </c>
      <c r="H16" s="137" t="s">
        <v>70</v>
      </c>
      <c r="I16" s="137" t="s">
        <v>76</v>
      </c>
      <c r="J16" s="137" t="s">
        <v>71</v>
      </c>
      <c r="K16" s="69" t="str">
        <f t="shared" ca="1" si="1"/>
        <v>Fail</v>
      </c>
    </row>
    <row r="17" spans="3:11" ht="39" customHeight="1">
      <c r="C17" s="135" t="s">
        <v>85</v>
      </c>
      <c r="D17" s="135" t="s">
        <v>86</v>
      </c>
      <c r="E17" s="135"/>
      <c r="F17" s="135" t="s">
        <v>97</v>
      </c>
      <c r="G17" s="136" t="s">
        <v>87</v>
      </c>
      <c r="H17" s="137" t="s">
        <v>70</v>
      </c>
      <c r="I17" s="137" t="s">
        <v>76</v>
      </c>
      <c r="J17" s="137" t="s">
        <v>71</v>
      </c>
      <c r="K17" s="69" t="str">
        <f t="shared" ca="1" si="1"/>
        <v/>
      </c>
    </row>
    <row r="18" spans="3:11" ht="37.5" customHeight="1">
      <c r="C18" s="135" t="s">
        <v>85</v>
      </c>
      <c r="D18" s="135" t="s">
        <v>86</v>
      </c>
      <c r="E18" s="135"/>
      <c r="F18" s="135" t="s">
        <v>98</v>
      </c>
      <c r="G18" s="136" t="s">
        <v>88</v>
      </c>
      <c r="H18" s="137" t="s">
        <v>70</v>
      </c>
      <c r="I18" s="137" t="s">
        <v>240</v>
      </c>
      <c r="J18" s="137" t="s">
        <v>71</v>
      </c>
      <c r="K18" s="69" t="str">
        <f t="shared" ca="1" si="1"/>
        <v/>
      </c>
    </row>
    <row r="19" spans="3:11" ht="36.75" customHeight="1">
      <c r="C19" s="135" t="s">
        <v>89</v>
      </c>
      <c r="D19" s="135" t="s">
        <v>89</v>
      </c>
      <c r="E19" s="135"/>
      <c r="F19" s="135" t="s">
        <v>99</v>
      </c>
      <c r="G19" s="136" t="s">
        <v>90</v>
      </c>
      <c r="H19" s="137" t="s">
        <v>70</v>
      </c>
      <c r="I19" s="137" t="s">
        <v>76</v>
      </c>
      <c r="J19" s="137" t="s">
        <v>71</v>
      </c>
      <c r="K19" s="69" t="str">
        <f t="shared" ca="1" si="1"/>
        <v/>
      </c>
    </row>
    <row r="20" spans="3:11" ht="46.5" customHeight="1">
      <c r="C20" s="135" t="s">
        <v>89</v>
      </c>
      <c r="D20" s="135" t="s">
        <v>89</v>
      </c>
      <c r="E20" s="135"/>
      <c r="F20" s="135" t="s">
        <v>100</v>
      </c>
      <c r="G20" s="136" t="s">
        <v>91</v>
      </c>
      <c r="H20" s="137" t="s">
        <v>70</v>
      </c>
      <c r="I20" s="137" t="s">
        <v>240</v>
      </c>
      <c r="J20" s="137" t="s">
        <v>71</v>
      </c>
      <c r="K20" s="69" t="str">
        <f t="shared" ca="1" si="1"/>
        <v/>
      </c>
    </row>
    <row r="21" spans="3:11" ht="39.6">
      <c r="C21" s="135" t="s">
        <v>154</v>
      </c>
      <c r="D21" s="135" t="s">
        <v>154</v>
      </c>
      <c r="E21" s="420"/>
      <c r="F21" s="135" t="s">
        <v>1039</v>
      </c>
      <c r="G21" s="136" t="s">
        <v>1106</v>
      </c>
      <c r="H21" s="137" t="s">
        <v>70</v>
      </c>
      <c r="I21" s="421"/>
      <c r="J21" s="421"/>
      <c r="K21" s="421"/>
    </row>
    <row r="22" spans="3:11" ht="52.8">
      <c r="C22" s="135" t="s">
        <v>154</v>
      </c>
      <c r="D22" s="135" t="s">
        <v>154</v>
      </c>
      <c r="E22" s="420"/>
      <c r="F22" s="135" t="s">
        <v>1040</v>
      </c>
      <c r="G22" s="136" t="s">
        <v>1107</v>
      </c>
      <c r="H22" s="137" t="s">
        <v>70</v>
      </c>
      <c r="I22" s="421"/>
      <c r="J22" s="421"/>
      <c r="K22" s="421"/>
    </row>
    <row r="23" spans="3:11" ht="39.6">
      <c r="C23" s="135" t="s">
        <v>154</v>
      </c>
      <c r="D23" s="135" t="s">
        <v>154</v>
      </c>
      <c r="E23" s="420"/>
      <c r="F23" s="135" t="s">
        <v>1103</v>
      </c>
      <c r="G23" s="136" t="s">
        <v>1108</v>
      </c>
      <c r="H23" s="137" t="s">
        <v>70</v>
      </c>
      <c r="I23" s="421"/>
      <c r="J23" s="421"/>
      <c r="K23" s="421"/>
    </row>
    <row r="24" spans="3:11" ht="39.6">
      <c r="C24" s="135" t="s">
        <v>1105</v>
      </c>
      <c r="D24" s="135" t="s">
        <v>154</v>
      </c>
      <c r="E24" s="420"/>
      <c r="F24" s="135" t="s">
        <v>1104</v>
      </c>
      <c r="G24" s="136" t="s">
        <v>1109</v>
      </c>
      <c r="H24" s="137" t="s">
        <v>70</v>
      </c>
      <c r="I24" s="421"/>
      <c r="J24" s="421"/>
      <c r="K24" s="421"/>
    </row>
  </sheetData>
  <sheetProtection formatCells="0" formatRows="0" insertRows="0" insertHyperlinks="0" deleteColumns="0" deleteRows="0" sort="0" autoFilter="0" pivotTables="0"/>
  <dataConsolidate/>
  <mergeCells count="3">
    <mergeCell ref="G7:H7"/>
    <mergeCell ref="G8:H8"/>
    <mergeCell ref="G9:H9"/>
  </mergeCells>
  <phoneticPr fontId="0" type="noConversion"/>
  <dataValidations count="7">
    <dataValidation type="list" allowBlank="1" showInputMessage="1" showErrorMessage="1" sqref="G9:H9" xr:uid="{00000000-0002-0000-0300-000000000000}">
      <formula1>"Not Start,In Progress,Complete"</formula1>
    </dataValidation>
    <dataValidation type="list" allowBlank="1" showInputMessage="1" showErrorMessage="1" sqref="D9" xr:uid="{00000000-0002-0000-0300-000001000000}">
      <formula1>TESTPHASE</formula1>
    </dataValidation>
    <dataValidation type="list" allowBlank="1" showInputMessage="1" showErrorMessage="1" sqref="D8" xr:uid="{00000000-0002-0000-0300-000002000000}">
      <formula1>AppName</formula1>
    </dataValidation>
    <dataValidation type="list" allowBlank="1" showInputMessage="1" showErrorMessage="1" sqref="E13:E20" xr:uid="{00000000-0002-0000-0300-000003000000}">
      <formula1>"Positive,Negative"</formula1>
    </dataValidation>
    <dataValidation type="list" allowBlank="1" showInputMessage="1" showErrorMessage="1" sqref="H13:H24" xr:uid="{00000000-0002-0000-0300-000004000000}">
      <formula1>"Design,Ready to Review"</formula1>
    </dataValidation>
    <dataValidation type="list" allowBlank="1" showInputMessage="1" showErrorMessage="1" sqref="K13:K179" xr:uid="{00000000-0002-0000-0300-000005000000}">
      <formula1>"Pass, Fail"</formula1>
    </dataValidation>
    <dataValidation type="list" allowBlank="1" showInputMessage="1" showErrorMessage="1" sqref="D17:D24 C13:C24" xr:uid="{00000000-0002-0000-0300-000006000000}">
      <formula1>Func_Module</formula1>
    </dataValidation>
  </dataValidations>
  <pageMargins left="0.17" right="0.21" top="0.52" bottom="0.59" header="0.18" footer="0.17"/>
  <pageSetup paperSize="9" scale="80" orientation="landscape" r:id="rId1"/>
  <headerFooter>
    <oddHeader>&amp;L&amp;G</oddHeader>
    <oddFooter>&amp;LTemplate ID: TP_TE_TestCase_V.2.0.0
Copyright&amp;RFile Name: &amp;F
Page: &amp;P/&amp;N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17" r:id="rId5" name="Button 193">
              <controlPr defaultSize="0" print="0" autoFill="0" autoPict="0" macro="[0]!CreateTestScript">
                <anchor moveWithCells="1" sizeWithCells="1">
                  <from>
                    <xdr:col>8</xdr:col>
                    <xdr:colOff>182880</xdr:colOff>
                    <xdr:row>6</xdr:row>
                    <xdr:rowOff>114300</xdr:rowOff>
                  </from>
                  <to>
                    <xdr:col>9</xdr:col>
                    <xdr:colOff>822960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6" name="Button 194">
              <controlPr defaultSize="0" print="0" autoFill="0" autoPict="0" macro="[0]!InsertNewRow">
                <anchor moveWithCells="1" sizeWithCells="1">
                  <from>
                    <xdr:col>8</xdr:col>
                    <xdr:colOff>190500</xdr:colOff>
                    <xdr:row>7</xdr:row>
                    <xdr:rowOff>106680</xdr:rowOff>
                  </from>
                  <to>
                    <xdr:col>9</xdr:col>
                    <xdr:colOff>838200</xdr:colOff>
                    <xdr:row>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7" name="Button 201">
              <controlPr defaultSize="0" print="0" autoFill="0" autoPict="0" macro="[0]!GotoScript">
                <anchor moveWithCells="1" sizeWithCells="1">
                  <from>
                    <xdr:col>8</xdr:col>
                    <xdr:colOff>182880</xdr:colOff>
                    <xdr:row>8</xdr:row>
                    <xdr:rowOff>83820</xdr:rowOff>
                  </from>
                  <to>
                    <xdr:col>9</xdr:col>
                    <xdr:colOff>830580</xdr:colOff>
                    <xdr:row>8</xdr:row>
                    <xdr:rowOff>312420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P45"/>
  <sheetViews>
    <sheetView showGridLines="0" topLeftCell="E7" workbookViewId="0">
      <selection activeCell="L3" sqref="L3:O3"/>
    </sheetView>
  </sheetViews>
  <sheetFormatPr defaultColWidth="9.28515625" defaultRowHeight="11.4"/>
  <cols>
    <col min="1" max="1" width="11.85546875" style="10" hidden="1" customWidth="1"/>
    <col min="2" max="2" width="14.85546875" style="2" hidden="1" customWidth="1"/>
    <col min="3" max="3" width="17.28515625" style="2" hidden="1" customWidth="1"/>
    <col min="4" max="4" width="18.28515625" style="2" hidden="1" customWidth="1"/>
    <col min="5" max="5" width="8.42578125" style="2" customWidth="1"/>
    <col min="6" max="6" width="25.28515625" style="2" customWidth="1"/>
    <col min="7" max="7" width="39.85546875" style="2" customWidth="1"/>
    <col min="8" max="8" width="13.28515625" style="2" customWidth="1"/>
    <col min="9" max="9" width="18.42578125" style="2" customWidth="1"/>
    <col min="10" max="10" width="23.7109375" style="2" customWidth="1"/>
    <col min="11" max="11" width="35.140625" style="2" customWidth="1"/>
    <col min="12" max="12" width="9.85546875" style="2" customWidth="1"/>
    <col min="13" max="13" width="9.42578125" style="2" customWidth="1"/>
    <col min="14" max="14" width="9.7109375" style="2" customWidth="1"/>
    <col min="15" max="15" width="14.28515625" style="2" customWidth="1"/>
    <col min="16" max="16" width="23.85546875" style="2" customWidth="1"/>
    <col min="17" max="16384" width="9.28515625" style="2"/>
  </cols>
  <sheetData>
    <row r="1" spans="1:16" ht="18.75" customHeight="1" thickBot="1">
      <c r="K1" s="1"/>
      <c r="L1" s="1"/>
      <c r="M1" s="1"/>
      <c r="N1" s="1"/>
    </row>
    <row r="2" spans="1:16" s="1" customFormat="1" ht="33" customHeight="1">
      <c r="A2" s="11"/>
      <c r="E2" s="32" t="s">
        <v>10</v>
      </c>
      <c r="F2" s="33"/>
      <c r="G2" s="491" t="s">
        <v>93</v>
      </c>
      <c r="H2" s="492"/>
      <c r="I2" s="493"/>
      <c r="J2" s="7"/>
      <c r="K2" s="82" t="s">
        <v>22</v>
      </c>
      <c r="L2" s="470" t="s">
        <v>75</v>
      </c>
      <c r="M2" s="471"/>
      <c r="N2" s="471"/>
      <c r="O2" s="472"/>
    </row>
    <row r="3" spans="1:16" s="1" customFormat="1" ht="22.5" customHeight="1">
      <c r="A3" s="11"/>
      <c r="E3" s="34" t="s">
        <v>9</v>
      </c>
      <c r="F3" s="35"/>
      <c r="G3" s="480" t="str">
        <f>VLOOKUP(G2,'Test Case'!F13:G65515,2,TRUE)</f>
        <v>ทดสอบการบันทึกรหัสเครื่องหมายการค้าหลักในกรณี Happy Flow</v>
      </c>
      <c r="H3" s="481"/>
      <c r="I3" s="482"/>
      <c r="J3" s="8"/>
      <c r="K3" s="36" t="s">
        <v>6</v>
      </c>
      <c r="L3" s="473" t="s">
        <v>74</v>
      </c>
      <c r="M3" s="474"/>
      <c r="N3" s="474"/>
      <c r="O3" s="475"/>
    </row>
    <row r="4" spans="1:16" s="1" customFormat="1" ht="23.25" customHeight="1" thickBot="1">
      <c r="A4" s="11"/>
      <c r="E4" s="34"/>
      <c r="F4" s="35"/>
      <c r="G4" s="483"/>
      <c r="H4" s="484"/>
      <c r="I4" s="485"/>
      <c r="J4" s="8"/>
      <c r="K4" s="36" t="s">
        <v>11</v>
      </c>
      <c r="L4" s="476" t="s">
        <v>69</v>
      </c>
      <c r="M4" s="477"/>
      <c r="N4" s="477"/>
      <c r="O4" s="478"/>
    </row>
    <row r="5" spans="1:16" s="1" customFormat="1" ht="22.5" customHeight="1">
      <c r="A5" s="11"/>
      <c r="E5" s="130"/>
      <c r="F5" s="131"/>
      <c r="G5" s="128"/>
      <c r="H5" s="494"/>
      <c r="I5" s="494"/>
      <c r="J5" s="5"/>
      <c r="K5" s="36" t="s">
        <v>4</v>
      </c>
      <c r="L5" s="476" t="s">
        <v>76</v>
      </c>
      <c r="M5" s="477"/>
      <c r="N5" s="477"/>
      <c r="O5" s="478"/>
    </row>
    <row r="6" spans="1:16" s="1" customFormat="1" ht="22.5" customHeight="1">
      <c r="A6" s="11"/>
      <c r="E6" s="130"/>
      <c r="F6" s="131"/>
      <c r="G6" s="129"/>
      <c r="H6" s="494"/>
      <c r="I6" s="494"/>
      <c r="J6" s="5"/>
      <c r="K6" s="36" t="s">
        <v>55</v>
      </c>
      <c r="L6" s="479">
        <v>43330</v>
      </c>
      <c r="M6" s="477"/>
      <c r="N6" s="477"/>
      <c r="O6" s="478"/>
    </row>
    <row r="7" spans="1:16" s="1" customFormat="1" ht="22.5" customHeight="1" thickBot="1">
      <c r="A7" s="11"/>
      <c r="E7" s="130"/>
      <c r="F7" s="131"/>
      <c r="G7" s="128"/>
      <c r="H7" s="506"/>
      <c r="I7" s="507"/>
      <c r="J7" s="5"/>
      <c r="K7" s="37" t="s">
        <v>54</v>
      </c>
      <c r="L7" s="510">
        <f>G11</f>
        <v>0</v>
      </c>
      <c r="M7" s="511"/>
      <c r="N7" s="511"/>
      <c r="O7" s="512"/>
    </row>
    <row r="8" spans="1:16" s="1" customFormat="1" ht="22.5" customHeight="1">
      <c r="A8" s="11"/>
      <c r="E8" s="130"/>
      <c r="F8" s="131"/>
      <c r="G8" s="129"/>
      <c r="H8" s="507"/>
      <c r="I8" s="507"/>
      <c r="J8" s="5"/>
      <c r="K8"/>
      <c r="N8" s="9"/>
    </row>
    <row r="9" spans="1:16" s="1" customFormat="1" ht="22.5" customHeight="1">
      <c r="A9" s="11"/>
      <c r="H9" s="2"/>
      <c r="I9" s="2"/>
      <c r="J9" s="5"/>
      <c r="K9"/>
      <c r="M9" s="2"/>
      <c r="N9" s="9"/>
    </row>
    <row r="10" spans="1:16" s="1" customFormat="1" ht="29.25" customHeight="1" thickBot="1">
      <c r="A10" s="11"/>
      <c r="J10" s="5"/>
      <c r="K10" s="2"/>
      <c r="L10" s="2"/>
      <c r="M10" s="4"/>
      <c r="N10" s="4"/>
      <c r="O10" s="4"/>
    </row>
    <row r="11" spans="1:16" s="1" customFormat="1" ht="29.25" customHeight="1">
      <c r="A11" s="89"/>
      <c r="B11" s="90"/>
      <c r="C11" s="90"/>
      <c r="D11" s="90"/>
      <c r="E11" s="508" t="s">
        <v>45</v>
      </c>
      <c r="F11" s="509"/>
      <c r="G11" s="93">
        <f>COUNTA(G14:G43)</f>
        <v>0</v>
      </c>
      <c r="H11" s="488" t="s">
        <v>51</v>
      </c>
      <c r="I11" s="488" t="s">
        <v>5</v>
      </c>
      <c r="J11" s="488" t="s">
        <v>3</v>
      </c>
      <c r="K11" s="498" t="s">
        <v>13</v>
      </c>
      <c r="L11" s="501" t="s">
        <v>48</v>
      </c>
      <c r="M11" s="502"/>
      <c r="N11" s="503"/>
      <c r="O11" s="495" t="s">
        <v>52</v>
      </c>
      <c r="P11" s="3"/>
    </row>
    <row r="12" spans="1:16" s="1" customFormat="1" ht="16.5" customHeight="1" thickBot="1">
      <c r="A12" s="91"/>
      <c r="B12" s="92"/>
      <c r="C12" s="92"/>
      <c r="D12" s="92"/>
      <c r="E12" s="504">
        <f>COUNTA(E14:E43)</f>
        <v>0</v>
      </c>
      <c r="F12" s="505"/>
      <c r="G12" s="486" t="s">
        <v>44</v>
      </c>
      <c r="H12" s="489"/>
      <c r="I12" s="489"/>
      <c r="J12" s="489"/>
      <c r="K12" s="499"/>
      <c r="L12" s="94">
        <f>COUNTA(L14:L43)</f>
        <v>0</v>
      </c>
      <c r="M12" s="95">
        <f>COUNTA(M14:M43)</f>
        <v>0</v>
      </c>
      <c r="N12" s="96">
        <f>COUNTA(N14:N43)</f>
        <v>0</v>
      </c>
      <c r="O12" s="496"/>
      <c r="P12" s="3"/>
    </row>
    <row r="13" spans="1:16" s="1" customFormat="1" ht="22.5" customHeight="1" thickBot="1">
      <c r="A13" s="23" t="s">
        <v>7</v>
      </c>
      <c r="B13" s="24" t="s">
        <v>18</v>
      </c>
      <c r="C13" s="25" t="s">
        <v>19</v>
      </c>
      <c r="D13" s="25" t="s">
        <v>17</v>
      </c>
      <c r="E13" s="97" t="s">
        <v>43</v>
      </c>
      <c r="F13" s="98" t="s">
        <v>12</v>
      </c>
      <c r="G13" s="487"/>
      <c r="H13" s="490"/>
      <c r="I13" s="490"/>
      <c r="J13" s="490"/>
      <c r="K13" s="500"/>
      <c r="L13" s="99" t="s">
        <v>42</v>
      </c>
      <c r="M13" s="100" t="s">
        <v>47</v>
      </c>
      <c r="N13" s="101" t="s">
        <v>53</v>
      </c>
      <c r="O13" s="497"/>
      <c r="P13" s="3"/>
    </row>
    <row r="14" spans="1:16" s="6" customFormat="1" ht="27" customHeight="1">
      <c r="A14" s="13"/>
      <c r="B14" s="12"/>
      <c r="C14" s="12"/>
      <c r="D14" s="14"/>
      <c r="E14" s="104"/>
      <c r="F14" s="103"/>
      <c r="G14" s="103"/>
      <c r="H14" s="105" t="s">
        <v>20</v>
      </c>
      <c r="I14" s="106"/>
      <c r="J14" s="106"/>
      <c r="K14" s="107"/>
      <c r="L14" s="108"/>
      <c r="M14" s="108"/>
      <c r="N14" s="108"/>
      <c r="O14" s="109"/>
    </row>
    <row r="15" spans="1:16" s="6" customFormat="1" ht="27" customHeight="1">
      <c r="A15" s="13" t="e">
        <f>#REF!</f>
        <v>#REF!</v>
      </c>
      <c r="B15" s="12" t="e">
        <f>#REF!</f>
        <v>#REF!</v>
      </c>
      <c r="C15" s="12">
        <f t="shared" ref="C15:C44" si="0">$I$5</f>
        <v>0</v>
      </c>
      <c r="D15" s="14">
        <f t="shared" ref="D15:D44" si="1">$I$7</f>
        <v>0</v>
      </c>
      <c r="E15" s="110"/>
      <c r="F15" s="104"/>
      <c r="G15" s="103"/>
      <c r="H15" s="105" t="s">
        <v>20</v>
      </c>
      <c r="I15" s="106"/>
      <c r="J15" s="106"/>
      <c r="K15" s="107"/>
      <c r="L15" s="108"/>
      <c r="M15" s="108"/>
      <c r="N15" s="108"/>
      <c r="O15" s="109"/>
    </row>
    <row r="16" spans="1:16" s="6" customFormat="1" ht="27" customHeight="1">
      <c r="A16" s="13"/>
      <c r="B16" s="12"/>
      <c r="C16" s="12"/>
      <c r="D16" s="14"/>
      <c r="E16" s="110"/>
      <c r="F16" s="104"/>
      <c r="G16" s="103"/>
      <c r="H16" s="105"/>
      <c r="I16" s="106"/>
      <c r="J16" s="106"/>
      <c r="K16" s="107"/>
      <c r="L16" s="108"/>
      <c r="M16" s="108"/>
      <c r="N16" s="108"/>
      <c r="O16" s="109"/>
    </row>
    <row r="17" spans="1:15" s="6" customFormat="1" ht="27" customHeight="1">
      <c r="A17" s="13" t="e">
        <f>#REF!</f>
        <v>#REF!</v>
      </c>
      <c r="B17" s="12" t="e">
        <f>#REF!</f>
        <v>#REF!</v>
      </c>
      <c r="C17" s="12">
        <f t="shared" si="0"/>
        <v>0</v>
      </c>
      <c r="D17" s="14">
        <f t="shared" si="1"/>
        <v>0</v>
      </c>
      <c r="E17" s="110"/>
      <c r="F17" s="104"/>
      <c r="G17" s="103"/>
      <c r="H17" s="105" t="s">
        <v>20</v>
      </c>
      <c r="I17" s="106"/>
      <c r="J17" s="106"/>
      <c r="K17" s="107"/>
      <c r="L17" s="108"/>
      <c r="M17" s="108"/>
      <c r="N17" s="108"/>
      <c r="O17" s="109"/>
    </row>
    <row r="18" spans="1:15" s="6" customFormat="1" ht="27" customHeight="1">
      <c r="A18" s="13" t="e">
        <f>#REF!</f>
        <v>#REF!</v>
      </c>
      <c r="B18" s="12" t="e">
        <f>#REF!</f>
        <v>#REF!</v>
      </c>
      <c r="C18" s="12">
        <f t="shared" si="0"/>
        <v>0</v>
      </c>
      <c r="D18" s="14">
        <f t="shared" si="1"/>
        <v>0</v>
      </c>
      <c r="E18" s="110"/>
      <c r="F18" s="104"/>
      <c r="G18" s="103"/>
      <c r="H18" s="105" t="s">
        <v>20</v>
      </c>
      <c r="I18" s="106"/>
      <c r="J18" s="106"/>
      <c r="K18" s="107"/>
      <c r="L18" s="108"/>
      <c r="M18" s="108"/>
      <c r="N18" s="108"/>
      <c r="O18" s="109"/>
    </row>
    <row r="19" spans="1:15" s="6" customFormat="1" ht="27" customHeight="1">
      <c r="A19" s="13" t="e">
        <f>#REF!</f>
        <v>#REF!</v>
      </c>
      <c r="B19" s="12" t="e">
        <f>#REF!</f>
        <v>#REF!</v>
      </c>
      <c r="C19" s="12">
        <f t="shared" si="0"/>
        <v>0</v>
      </c>
      <c r="D19" s="14">
        <f t="shared" si="1"/>
        <v>0</v>
      </c>
      <c r="E19" s="110"/>
      <c r="F19" s="104"/>
      <c r="G19" s="103"/>
      <c r="H19" s="105" t="s">
        <v>20</v>
      </c>
      <c r="I19" s="106"/>
      <c r="J19" s="106"/>
      <c r="K19" s="107"/>
      <c r="L19" s="108"/>
      <c r="M19" s="108"/>
      <c r="N19" s="108"/>
      <c r="O19" s="109"/>
    </row>
    <row r="20" spans="1:15" s="6" customFormat="1" ht="27" customHeight="1">
      <c r="A20" s="13" t="e">
        <f>#REF!</f>
        <v>#REF!</v>
      </c>
      <c r="B20" s="12" t="e">
        <f>#REF!</f>
        <v>#REF!</v>
      </c>
      <c r="C20" s="12">
        <f t="shared" si="0"/>
        <v>0</v>
      </c>
      <c r="D20" s="14">
        <f t="shared" si="1"/>
        <v>0</v>
      </c>
      <c r="E20" s="110"/>
      <c r="F20" s="104"/>
      <c r="G20" s="103"/>
      <c r="H20" s="105" t="s">
        <v>20</v>
      </c>
      <c r="I20" s="106"/>
      <c r="J20" s="106"/>
      <c r="K20" s="107"/>
      <c r="L20" s="108"/>
      <c r="M20" s="108"/>
      <c r="N20" s="108"/>
      <c r="O20" s="109"/>
    </row>
    <row r="21" spans="1:15" s="6" customFormat="1" ht="27" customHeight="1">
      <c r="A21" s="13" t="e">
        <f>#REF!</f>
        <v>#REF!</v>
      </c>
      <c r="B21" s="12" t="e">
        <f>#REF!</f>
        <v>#REF!</v>
      </c>
      <c r="C21" s="12">
        <f t="shared" si="0"/>
        <v>0</v>
      </c>
      <c r="D21" s="14">
        <f t="shared" si="1"/>
        <v>0</v>
      </c>
      <c r="E21" s="110"/>
      <c r="F21" s="104"/>
      <c r="G21" s="103"/>
      <c r="H21" s="105" t="s">
        <v>20</v>
      </c>
      <c r="I21" s="106"/>
      <c r="J21" s="106"/>
      <c r="K21" s="107"/>
      <c r="L21" s="108"/>
      <c r="M21" s="108"/>
      <c r="N21" s="108"/>
      <c r="O21" s="109"/>
    </row>
    <row r="22" spans="1:15" s="6" customFormat="1" ht="27" customHeight="1">
      <c r="A22" s="13" t="e">
        <f>#REF!</f>
        <v>#REF!</v>
      </c>
      <c r="B22" s="12" t="e">
        <f>#REF!</f>
        <v>#REF!</v>
      </c>
      <c r="C22" s="12">
        <f t="shared" si="0"/>
        <v>0</v>
      </c>
      <c r="D22" s="14">
        <f t="shared" si="1"/>
        <v>0</v>
      </c>
      <c r="E22" s="110"/>
      <c r="F22" s="104"/>
      <c r="G22" s="103"/>
      <c r="H22" s="105" t="s">
        <v>20</v>
      </c>
      <c r="I22" s="106"/>
      <c r="J22" s="106"/>
      <c r="K22" s="107"/>
      <c r="L22" s="108"/>
      <c r="M22" s="108"/>
      <c r="N22" s="108"/>
      <c r="O22" s="109"/>
    </row>
    <row r="23" spans="1:15" s="6" customFormat="1" ht="27" customHeight="1">
      <c r="A23" s="13" t="e">
        <f>#REF!</f>
        <v>#REF!</v>
      </c>
      <c r="B23" s="12" t="e">
        <f>#REF!</f>
        <v>#REF!</v>
      </c>
      <c r="C23" s="12">
        <f t="shared" si="0"/>
        <v>0</v>
      </c>
      <c r="D23" s="14">
        <f t="shared" si="1"/>
        <v>0</v>
      </c>
      <c r="E23" s="110"/>
      <c r="F23" s="104"/>
      <c r="G23" s="103"/>
      <c r="H23" s="105" t="s">
        <v>20</v>
      </c>
      <c r="I23" s="106"/>
      <c r="J23" s="106"/>
      <c r="K23" s="107"/>
      <c r="L23" s="108"/>
      <c r="M23" s="108"/>
      <c r="N23" s="108"/>
      <c r="O23" s="109"/>
    </row>
    <row r="24" spans="1:15" s="6" customFormat="1" ht="27" customHeight="1">
      <c r="A24" s="13" t="e">
        <f>#REF!</f>
        <v>#REF!</v>
      </c>
      <c r="B24" s="12" t="e">
        <f>#REF!</f>
        <v>#REF!</v>
      </c>
      <c r="C24" s="12">
        <f t="shared" si="0"/>
        <v>0</v>
      </c>
      <c r="D24" s="14">
        <f t="shared" si="1"/>
        <v>0</v>
      </c>
      <c r="E24" s="110"/>
      <c r="F24" s="104"/>
      <c r="G24" s="103"/>
      <c r="H24" s="105" t="s">
        <v>20</v>
      </c>
      <c r="I24" s="106"/>
      <c r="J24" s="106"/>
      <c r="K24" s="107"/>
      <c r="L24" s="108"/>
      <c r="M24" s="108"/>
      <c r="N24" s="108"/>
      <c r="O24" s="109"/>
    </row>
    <row r="25" spans="1:15" s="6" customFormat="1" ht="27" customHeight="1">
      <c r="A25" s="13" t="e">
        <f>#REF!</f>
        <v>#REF!</v>
      </c>
      <c r="B25" s="12" t="e">
        <f>#REF!</f>
        <v>#REF!</v>
      </c>
      <c r="C25" s="12">
        <f t="shared" si="0"/>
        <v>0</v>
      </c>
      <c r="D25" s="14">
        <f t="shared" si="1"/>
        <v>0</v>
      </c>
      <c r="E25" s="110"/>
      <c r="F25" s="104"/>
      <c r="G25" s="103"/>
      <c r="H25" s="105" t="s">
        <v>20</v>
      </c>
      <c r="I25" s="106"/>
      <c r="J25" s="106"/>
      <c r="K25" s="107"/>
      <c r="L25" s="108"/>
      <c r="M25" s="108"/>
      <c r="N25" s="108"/>
      <c r="O25" s="109"/>
    </row>
    <row r="26" spans="1:15" s="6" customFormat="1" ht="27" customHeight="1">
      <c r="A26" s="13" t="e">
        <f>#REF!</f>
        <v>#REF!</v>
      </c>
      <c r="B26" s="12" t="e">
        <f>#REF!</f>
        <v>#REF!</v>
      </c>
      <c r="C26" s="12">
        <f t="shared" si="0"/>
        <v>0</v>
      </c>
      <c r="D26" s="14">
        <f t="shared" si="1"/>
        <v>0</v>
      </c>
      <c r="E26" s="110"/>
      <c r="F26" s="104"/>
      <c r="G26" s="103"/>
      <c r="H26" s="105" t="s">
        <v>20</v>
      </c>
      <c r="I26" s="106"/>
      <c r="J26" s="106"/>
      <c r="K26" s="107"/>
      <c r="L26" s="108"/>
      <c r="M26" s="108"/>
      <c r="N26" s="108"/>
      <c r="O26" s="109"/>
    </row>
    <row r="27" spans="1:15" s="6" customFormat="1" ht="27" customHeight="1">
      <c r="A27" s="13" t="e">
        <f>#REF!</f>
        <v>#REF!</v>
      </c>
      <c r="B27" s="12" t="e">
        <f>#REF!</f>
        <v>#REF!</v>
      </c>
      <c r="C27" s="12">
        <f t="shared" si="0"/>
        <v>0</v>
      </c>
      <c r="D27" s="14">
        <f t="shared" si="1"/>
        <v>0</v>
      </c>
      <c r="E27" s="110"/>
      <c r="F27" s="104"/>
      <c r="G27" s="103"/>
      <c r="H27" s="105" t="s">
        <v>20</v>
      </c>
      <c r="I27" s="106"/>
      <c r="J27" s="106"/>
      <c r="K27" s="107"/>
      <c r="L27" s="108"/>
      <c r="M27" s="108"/>
      <c r="N27" s="108"/>
      <c r="O27" s="109"/>
    </row>
    <row r="28" spans="1:15" s="6" customFormat="1" ht="27" customHeight="1">
      <c r="A28" s="13" t="e">
        <f>#REF!</f>
        <v>#REF!</v>
      </c>
      <c r="B28" s="12" t="e">
        <f>#REF!</f>
        <v>#REF!</v>
      </c>
      <c r="C28" s="12">
        <f t="shared" si="0"/>
        <v>0</v>
      </c>
      <c r="D28" s="14">
        <f t="shared" si="1"/>
        <v>0</v>
      </c>
      <c r="E28" s="110"/>
      <c r="F28" s="104"/>
      <c r="G28" s="103"/>
      <c r="H28" s="105" t="s">
        <v>20</v>
      </c>
      <c r="I28" s="106"/>
      <c r="J28" s="106"/>
      <c r="K28" s="107"/>
      <c r="L28" s="108"/>
      <c r="M28" s="108"/>
      <c r="N28" s="108"/>
      <c r="O28" s="109"/>
    </row>
    <row r="29" spans="1:15" s="6" customFormat="1" ht="27" customHeight="1">
      <c r="A29" s="13" t="e">
        <f>#REF!</f>
        <v>#REF!</v>
      </c>
      <c r="B29" s="12" t="e">
        <f>#REF!</f>
        <v>#REF!</v>
      </c>
      <c r="C29" s="12">
        <f t="shared" si="0"/>
        <v>0</v>
      </c>
      <c r="D29" s="14">
        <f t="shared" si="1"/>
        <v>0</v>
      </c>
      <c r="E29" s="110"/>
      <c r="F29" s="104"/>
      <c r="G29" s="103"/>
      <c r="H29" s="105" t="s">
        <v>20</v>
      </c>
      <c r="I29" s="106"/>
      <c r="J29" s="106"/>
      <c r="K29" s="107"/>
      <c r="L29" s="108"/>
      <c r="M29" s="108"/>
      <c r="N29" s="108"/>
      <c r="O29" s="109"/>
    </row>
    <row r="30" spans="1:15" s="6" customFormat="1" ht="27" customHeight="1">
      <c r="A30" s="13" t="e">
        <f>#REF!</f>
        <v>#REF!</v>
      </c>
      <c r="B30" s="12" t="e">
        <f>#REF!</f>
        <v>#REF!</v>
      </c>
      <c r="C30" s="12">
        <f t="shared" si="0"/>
        <v>0</v>
      </c>
      <c r="D30" s="14">
        <f t="shared" si="1"/>
        <v>0</v>
      </c>
      <c r="E30" s="110"/>
      <c r="F30" s="104"/>
      <c r="G30" s="103"/>
      <c r="H30" s="105" t="s">
        <v>20</v>
      </c>
      <c r="I30" s="106"/>
      <c r="J30" s="106"/>
      <c r="K30" s="107"/>
      <c r="L30" s="108"/>
      <c r="M30" s="108"/>
      <c r="N30" s="108"/>
      <c r="O30" s="109"/>
    </row>
    <row r="31" spans="1:15" s="6" customFormat="1" ht="27" customHeight="1">
      <c r="A31" s="13" t="e">
        <f>#REF!</f>
        <v>#REF!</v>
      </c>
      <c r="B31" s="12" t="e">
        <f>#REF!</f>
        <v>#REF!</v>
      </c>
      <c r="C31" s="12">
        <f t="shared" si="0"/>
        <v>0</v>
      </c>
      <c r="D31" s="14">
        <f t="shared" si="1"/>
        <v>0</v>
      </c>
      <c r="E31" s="110"/>
      <c r="F31" s="104"/>
      <c r="G31" s="103"/>
      <c r="H31" s="105" t="s">
        <v>20</v>
      </c>
      <c r="I31" s="106"/>
      <c r="J31" s="106"/>
      <c r="K31" s="107"/>
      <c r="L31" s="108"/>
      <c r="M31" s="108"/>
      <c r="N31" s="108"/>
      <c r="O31" s="109"/>
    </row>
    <row r="32" spans="1:15" s="6" customFormat="1" ht="27" customHeight="1">
      <c r="A32" s="13" t="e">
        <f>#REF!</f>
        <v>#REF!</v>
      </c>
      <c r="B32" s="12" t="e">
        <f>#REF!</f>
        <v>#REF!</v>
      </c>
      <c r="C32" s="12">
        <f t="shared" si="0"/>
        <v>0</v>
      </c>
      <c r="D32" s="14">
        <f t="shared" si="1"/>
        <v>0</v>
      </c>
      <c r="E32" s="110"/>
      <c r="F32" s="104"/>
      <c r="G32" s="103"/>
      <c r="H32" s="105" t="s">
        <v>20</v>
      </c>
      <c r="I32" s="106"/>
      <c r="J32" s="106"/>
      <c r="K32" s="107"/>
      <c r="L32" s="108"/>
      <c r="M32" s="108"/>
      <c r="N32" s="108"/>
      <c r="O32" s="109"/>
    </row>
    <row r="33" spans="1:15" s="6" customFormat="1" ht="27" customHeight="1">
      <c r="A33" s="13" t="e">
        <f>#REF!</f>
        <v>#REF!</v>
      </c>
      <c r="B33" s="12" t="e">
        <f>#REF!</f>
        <v>#REF!</v>
      </c>
      <c r="C33" s="12">
        <f t="shared" si="0"/>
        <v>0</v>
      </c>
      <c r="D33" s="14">
        <f t="shared" si="1"/>
        <v>0</v>
      </c>
      <c r="E33" s="110"/>
      <c r="F33" s="104"/>
      <c r="G33" s="103"/>
      <c r="H33" s="105" t="s">
        <v>20</v>
      </c>
      <c r="I33" s="106"/>
      <c r="J33" s="106"/>
      <c r="K33" s="107"/>
      <c r="L33" s="108"/>
      <c r="M33" s="108"/>
      <c r="N33" s="108"/>
      <c r="O33" s="109"/>
    </row>
    <row r="34" spans="1:15" s="6" customFormat="1" ht="27" customHeight="1">
      <c r="A34" s="13" t="e">
        <f>#REF!</f>
        <v>#REF!</v>
      </c>
      <c r="B34" s="12" t="e">
        <f>#REF!</f>
        <v>#REF!</v>
      </c>
      <c r="C34" s="12">
        <f t="shared" si="0"/>
        <v>0</v>
      </c>
      <c r="D34" s="14">
        <f t="shared" si="1"/>
        <v>0</v>
      </c>
      <c r="E34" s="110"/>
      <c r="F34" s="104"/>
      <c r="G34" s="103"/>
      <c r="H34" s="105" t="s">
        <v>20</v>
      </c>
      <c r="I34" s="106"/>
      <c r="J34" s="106"/>
      <c r="K34" s="107"/>
      <c r="L34" s="108"/>
      <c r="M34" s="108"/>
      <c r="N34" s="108"/>
      <c r="O34" s="109"/>
    </row>
    <row r="35" spans="1:15" s="6" customFormat="1" ht="27" customHeight="1">
      <c r="A35" s="13" t="e">
        <f>#REF!</f>
        <v>#REF!</v>
      </c>
      <c r="B35" s="12" t="e">
        <f>#REF!</f>
        <v>#REF!</v>
      </c>
      <c r="C35" s="12">
        <f t="shared" si="0"/>
        <v>0</v>
      </c>
      <c r="D35" s="14">
        <f t="shared" si="1"/>
        <v>0</v>
      </c>
      <c r="E35" s="110"/>
      <c r="F35" s="104"/>
      <c r="G35" s="103"/>
      <c r="H35" s="105" t="s">
        <v>20</v>
      </c>
      <c r="I35" s="106"/>
      <c r="J35" s="106"/>
      <c r="K35" s="107"/>
      <c r="L35" s="108"/>
      <c r="M35" s="108"/>
      <c r="N35" s="108"/>
      <c r="O35" s="109"/>
    </row>
    <row r="36" spans="1:15" s="6" customFormat="1" ht="27" customHeight="1">
      <c r="A36" s="13" t="e">
        <f>#REF!</f>
        <v>#REF!</v>
      </c>
      <c r="B36" s="12" t="e">
        <f>#REF!</f>
        <v>#REF!</v>
      </c>
      <c r="C36" s="12">
        <f t="shared" si="0"/>
        <v>0</v>
      </c>
      <c r="D36" s="14">
        <f t="shared" si="1"/>
        <v>0</v>
      </c>
      <c r="E36" s="110"/>
      <c r="F36" s="104"/>
      <c r="G36" s="103"/>
      <c r="H36" s="105" t="s">
        <v>20</v>
      </c>
      <c r="I36" s="106"/>
      <c r="J36" s="106"/>
      <c r="K36" s="107"/>
      <c r="L36" s="108"/>
      <c r="M36" s="108"/>
      <c r="N36" s="108"/>
      <c r="O36" s="109"/>
    </row>
    <row r="37" spans="1:15" s="6" customFormat="1" ht="27" customHeight="1">
      <c r="A37" s="13" t="e">
        <f>#REF!</f>
        <v>#REF!</v>
      </c>
      <c r="B37" s="12" t="e">
        <f>#REF!</f>
        <v>#REF!</v>
      </c>
      <c r="C37" s="12">
        <f t="shared" si="0"/>
        <v>0</v>
      </c>
      <c r="D37" s="14">
        <f t="shared" si="1"/>
        <v>0</v>
      </c>
      <c r="E37" s="110"/>
      <c r="F37" s="104"/>
      <c r="G37" s="103"/>
      <c r="H37" s="105" t="s">
        <v>20</v>
      </c>
      <c r="I37" s="106"/>
      <c r="J37" s="106"/>
      <c r="K37" s="107"/>
      <c r="L37" s="108"/>
      <c r="M37" s="108"/>
      <c r="N37" s="108"/>
      <c r="O37" s="109"/>
    </row>
    <row r="38" spans="1:15" s="6" customFormat="1" ht="27" customHeight="1">
      <c r="A38" s="13" t="e">
        <f>#REF!</f>
        <v>#REF!</v>
      </c>
      <c r="B38" s="12" t="e">
        <f>#REF!</f>
        <v>#REF!</v>
      </c>
      <c r="C38" s="12">
        <f t="shared" si="0"/>
        <v>0</v>
      </c>
      <c r="D38" s="14">
        <f t="shared" si="1"/>
        <v>0</v>
      </c>
      <c r="E38" s="110"/>
      <c r="F38" s="104"/>
      <c r="G38" s="103"/>
      <c r="H38" s="105" t="s">
        <v>20</v>
      </c>
      <c r="I38" s="106"/>
      <c r="J38" s="106"/>
      <c r="K38" s="107"/>
      <c r="L38" s="108"/>
      <c r="M38" s="108"/>
      <c r="N38" s="108"/>
      <c r="O38" s="109"/>
    </row>
    <row r="39" spans="1:15" s="6" customFormat="1" ht="27" customHeight="1">
      <c r="A39" s="13" t="e">
        <f>#REF!</f>
        <v>#REF!</v>
      </c>
      <c r="B39" s="12" t="e">
        <f>#REF!</f>
        <v>#REF!</v>
      </c>
      <c r="C39" s="12">
        <f t="shared" si="0"/>
        <v>0</v>
      </c>
      <c r="D39" s="14">
        <f t="shared" si="1"/>
        <v>0</v>
      </c>
      <c r="E39" s="110"/>
      <c r="F39" s="104"/>
      <c r="G39" s="103"/>
      <c r="H39" s="105" t="s">
        <v>20</v>
      </c>
      <c r="I39" s="106"/>
      <c r="J39" s="106"/>
      <c r="K39" s="107"/>
      <c r="L39" s="108"/>
      <c r="M39" s="108"/>
      <c r="N39" s="108"/>
      <c r="O39" s="109"/>
    </row>
    <row r="40" spans="1:15" s="6" customFormat="1" ht="27" customHeight="1">
      <c r="A40" s="13"/>
      <c r="B40" s="12"/>
      <c r="C40" s="12"/>
      <c r="D40" s="14"/>
      <c r="E40" s="110"/>
      <c r="F40" s="104"/>
      <c r="G40" s="103"/>
      <c r="H40" s="105"/>
      <c r="I40" s="106"/>
      <c r="J40" s="107"/>
      <c r="K40" s="107"/>
      <c r="L40" s="108"/>
      <c r="M40" s="108"/>
      <c r="N40" s="108"/>
      <c r="O40" s="109"/>
    </row>
    <row r="41" spans="1:15" s="6" customFormat="1" ht="27" customHeight="1">
      <c r="A41" s="13"/>
      <c r="B41" s="12"/>
      <c r="C41" s="12"/>
      <c r="D41" s="14"/>
      <c r="E41" s="110"/>
      <c r="F41" s="104"/>
      <c r="G41" s="103"/>
      <c r="H41" s="105"/>
      <c r="I41" s="106"/>
      <c r="J41" s="107"/>
      <c r="K41" s="107"/>
      <c r="L41" s="108"/>
      <c r="M41" s="108"/>
      <c r="N41" s="108"/>
      <c r="O41" s="109"/>
    </row>
    <row r="42" spans="1:15" s="6" customFormat="1" ht="27" customHeight="1">
      <c r="A42" s="13"/>
      <c r="B42" s="12"/>
      <c r="C42" s="12"/>
      <c r="D42" s="14"/>
      <c r="E42" s="110"/>
      <c r="F42" s="104"/>
      <c r="G42" s="103"/>
      <c r="H42" s="105"/>
      <c r="I42" s="106"/>
      <c r="J42" s="107"/>
      <c r="K42" s="107"/>
      <c r="L42" s="108"/>
      <c r="M42" s="108"/>
      <c r="N42" s="108"/>
      <c r="O42" s="109"/>
    </row>
    <row r="43" spans="1:15" s="6" customFormat="1" ht="27" customHeight="1" thickBot="1">
      <c r="A43" s="83" t="e">
        <f>#REF!</f>
        <v>#REF!</v>
      </c>
      <c r="B43" s="84" t="e">
        <f>#REF!</f>
        <v>#REF!</v>
      </c>
      <c r="C43" s="84">
        <f t="shared" si="0"/>
        <v>0</v>
      </c>
      <c r="D43" s="85">
        <f t="shared" si="1"/>
        <v>0</v>
      </c>
      <c r="E43" s="111"/>
      <c r="F43" s="112"/>
      <c r="G43" s="118"/>
      <c r="H43" s="113" t="s">
        <v>20</v>
      </c>
      <c r="I43" s="114"/>
      <c r="J43" s="114"/>
      <c r="K43" s="115"/>
      <c r="L43" s="116"/>
      <c r="M43" s="116"/>
      <c r="N43" s="108"/>
      <c r="O43" s="117"/>
    </row>
    <row r="44" spans="1:15" s="6" customFormat="1" ht="27" customHeight="1" thickBot="1">
      <c r="A44" s="86" t="e">
        <f>#REF!</f>
        <v>#REF!</v>
      </c>
      <c r="B44" s="87" t="e">
        <f>#REF!</f>
        <v>#REF!</v>
      </c>
      <c r="C44" s="87">
        <f t="shared" si="0"/>
        <v>0</v>
      </c>
      <c r="D44" s="88">
        <f t="shared" si="1"/>
        <v>0</v>
      </c>
      <c r="E44" s="71"/>
      <c r="F44" s="73" t="s">
        <v>46</v>
      </c>
      <c r="G44" s="66"/>
      <c r="H44" s="66"/>
      <c r="I44" s="66"/>
      <c r="J44" s="72"/>
      <c r="K44" s="72"/>
      <c r="L44" s="66"/>
      <c r="M44" s="66"/>
      <c r="N44" s="66"/>
      <c r="O44" s="66"/>
    </row>
    <row r="45" spans="1:15" ht="22.5" customHeight="1"/>
  </sheetData>
  <sheetProtection formatCells="0" formatColumns="0" formatRows="0" insertRows="0" insertHyperlinks="0" deleteRows="0" sort="0" autoFilter="0" pivotTables="0"/>
  <mergeCells count="19">
    <mergeCell ref="O11:O13"/>
    <mergeCell ref="K11:K13"/>
    <mergeCell ref="L11:N11"/>
    <mergeCell ref="E12:F12"/>
    <mergeCell ref="H7:I8"/>
    <mergeCell ref="E11:F11"/>
    <mergeCell ref="L7:O7"/>
    <mergeCell ref="G3:I4"/>
    <mergeCell ref="G12:G13"/>
    <mergeCell ref="J11:J13"/>
    <mergeCell ref="G2:I2"/>
    <mergeCell ref="H5:I6"/>
    <mergeCell ref="H11:H13"/>
    <mergeCell ref="I11:I13"/>
    <mergeCell ref="L2:O2"/>
    <mergeCell ref="L3:O3"/>
    <mergeCell ref="L4:O4"/>
    <mergeCell ref="L5:O5"/>
    <mergeCell ref="L6:O6"/>
  </mergeCells>
  <phoneticPr fontId="0" type="noConversion"/>
  <dataValidations count="1">
    <dataValidation type="list" allowBlank="1" showInputMessage="1" showErrorMessage="1" sqref="O14:O38" xr:uid="{00000000-0002-0000-0400-000000000000}">
      <formula1>"Pass,Failed"</formula1>
    </dataValidation>
  </dataValidations>
  <pageMargins left="0.7" right="0.7" top="0.75" bottom="0.75" header="0.3" footer="0.3"/>
  <pageSetup paperSize="9" orientation="portrait" r:id="rId1"/>
  <headerFooter>
    <oddHeader>&amp;L&amp;G</oddHeader>
    <oddFooter>&amp;LTemplate ID: TP_TE_TestCase_V.2.0.0
Copyright&amp;RFile Name: &amp;F
Page: &amp;P/&amp;N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Home">
                <anchor moveWithCells="1" sizeWithCells="1">
                  <from>
                    <xdr:col>6</xdr:col>
                    <xdr:colOff>381000</xdr:colOff>
                    <xdr:row>8</xdr:row>
                    <xdr:rowOff>236220</xdr:rowOff>
                  </from>
                  <to>
                    <xdr:col>6</xdr:col>
                    <xdr:colOff>1219200</xdr:colOff>
                    <xdr:row>9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B1:H14"/>
  <sheetViews>
    <sheetView workbookViewId="0">
      <selection activeCell="B18" sqref="B18"/>
    </sheetView>
  </sheetViews>
  <sheetFormatPr defaultRowHeight="10.199999999999999"/>
  <cols>
    <col min="1" max="1" width="3.140625" customWidth="1"/>
    <col min="2" max="2" width="42" customWidth="1"/>
    <col min="3" max="3" width="23.28515625" customWidth="1"/>
    <col min="4" max="8" width="15" customWidth="1"/>
  </cols>
  <sheetData>
    <row r="1" spans="2:8" ht="37.5" customHeight="1">
      <c r="B1" s="81"/>
      <c r="C1" s="81" t="s">
        <v>66</v>
      </c>
    </row>
    <row r="2" spans="2:8" ht="8.25" customHeight="1">
      <c r="B2" s="124"/>
    </row>
    <row r="3" spans="2:8" ht="25.5" customHeight="1">
      <c r="B3" s="68" t="s">
        <v>59</v>
      </c>
    </row>
    <row r="4" spans="2:8" ht="12">
      <c r="B4" s="125" t="s">
        <v>38</v>
      </c>
      <c r="C4" s="125" t="s">
        <v>7</v>
      </c>
      <c r="D4" s="125" t="s">
        <v>60</v>
      </c>
      <c r="E4" s="125" t="s">
        <v>61</v>
      </c>
      <c r="F4" s="125" t="s">
        <v>53</v>
      </c>
      <c r="G4" s="125" t="s">
        <v>63</v>
      </c>
      <c r="H4" s="125" t="s">
        <v>62</v>
      </c>
    </row>
    <row r="5" spans="2:8" ht="17.25" customHeight="1">
      <c r="B5" s="138" t="s">
        <v>77</v>
      </c>
      <c r="C5" s="125" t="s">
        <v>93</v>
      </c>
      <c r="D5" s="125">
        <f t="shared" ref="D5:D12" ca="1" si="0">IF(ISERR(INDIRECT("'"&amp;C5&amp;"'!L12")),"NA",INDIRECT("'"&amp;C5&amp;"'!L12"))</f>
        <v>17</v>
      </c>
      <c r="E5" s="125">
        <f t="shared" ref="E5:E12" ca="1" si="1">IF(ISERR(INDIRECT("'"&amp;C5&amp;"'!M12")),"NA",INDIRECT("'"&amp;C5&amp;"'!M12"))</f>
        <v>4</v>
      </c>
      <c r="F5" s="125">
        <f t="shared" ref="F5:F12" ca="1" si="2">IF(ISERR(INDIRECT("'"&amp;C5&amp;"'!N12")),"NA",INDIRECT("'"&amp;C5&amp;"'!N12"))</f>
        <v>1</v>
      </c>
      <c r="G5" s="125">
        <f t="shared" ref="G5:G12" ca="1" si="3">IF(ISERR(H5-(D5+E5+F5)),"NA",H5-(D5+E5+F5))</f>
        <v>0</v>
      </c>
      <c r="H5" s="125">
        <f t="shared" ref="H5:H12" ca="1" si="4">IF(ISERR(INDIRECT("'"&amp;C5&amp;"'!L7")),"NA",INDIRECT("'"&amp;C5&amp;"'!L7"))</f>
        <v>22</v>
      </c>
    </row>
    <row r="6" spans="2:8" ht="12">
      <c r="B6" s="125" t="s">
        <v>77</v>
      </c>
      <c r="C6" s="125" t="s">
        <v>94</v>
      </c>
      <c r="D6" s="125">
        <f t="shared" ca="1" si="0"/>
        <v>140</v>
      </c>
      <c r="E6" s="125">
        <f t="shared" ca="1" si="1"/>
        <v>21</v>
      </c>
      <c r="F6" s="125">
        <f t="shared" ca="1" si="2"/>
        <v>15</v>
      </c>
      <c r="G6" s="125">
        <f t="shared" ca="1" si="3"/>
        <v>0</v>
      </c>
      <c r="H6" s="125">
        <f t="shared" ca="1" si="4"/>
        <v>176</v>
      </c>
    </row>
    <row r="7" spans="2:8" ht="12">
      <c r="B7" s="125" t="s">
        <v>81</v>
      </c>
      <c r="C7" s="125" t="s">
        <v>95</v>
      </c>
      <c r="D7" s="125">
        <f t="shared" ca="1" si="0"/>
        <v>0</v>
      </c>
      <c r="E7" s="125">
        <f t="shared" ca="1" si="1"/>
        <v>0</v>
      </c>
      <c r="F7" s="125">
        <f t="shared" ca="1" si="2"/>
        <v>0</v>
      </c>
      <c r="G7" s="125">
        <f t="shared" ca="1" si="3"/>
        <v>23</v>
      </c>
      <c r="H7" s="125">
        <f t="shared" ca="1" si="4"/>
        <v>23</v>
      </c>
    </row>
    <row r="8" spans="2:8" ht="12">
      <c r="B8" s="125" t="s">
        <v>81</v>
      </c>
      <c r="C8" s="125" t="s">
        <v>96</v>
      </c>
      <c r="D8" s="125">
        <f t="shared" ca="1" si="0"/>
        <v>161</v>
      </c>
      <c r="E8" s="125">
        <f t="shared" ca="1" si="1"/>
        <v>24</v>
      </c>
      <c r="F8" s="125">
        <f t="shared" ca="1" si="2"/>
        <v>20</v>
      </c>
      <c r="G8" s="125">
        <f t="shared" ca="1" si="3"/>
        <v>1</v>
      </c>
      <c r="H8" s="125">
        <f t="shared" ca="1" si="4"/>
        <v>206</v>
      </c>
    </row>
    <row r="9" spans="2:8" ht="12">
      <c r="B9" s="125" t="s">
        <v>85</v>
      </c>
      <c r="C9" s="125" t="s">
        <v>97</v>
      </c>
      <c r="D9" s="125">
        <f t="shared" ca="1" si="0"/>
        <v>0</v>
      </c>
      <c r="E9" s="125">
        <f t="shared" ca="1" si="1"/>
        <v>0</v>
      </c>
      <c r="F9" s="125">
        <f t="shared" ca="1" si="2"/>
        <v>0</v>
      </c>
      <c r="G9" s="125">
        <f t="shared" ca="1" si="3"/>
        <v>21</v>
      </c>
      <c r="H9" s="125">
        <f t="shared" ca="1" si="4"/>
        <v>21</v>
      </c>
    </row>
    <row r="10" spans="2:8" ht="12">
      <c r="B10" s="125" t="s">
        <v>85</v>
      </c>
      <c r="C10" s="125" t="s">
        <v>98</v>
      </c>
      <c r="D10" s="125">
        <f t="shared" ca="1" si="0"/>
        <v>0</v>
      </c>
      <c r="E10" s="125">
        <f t="shared" ca="1" si="1"/>
        <v>0</v>
      </c>
      <c r="F10" s="125">
        <f t="shared" ca="1" si="2"/>
        <v>0</v>
      </c>
      <c r="G10" s="125">
        <f t="shared" ca="1" si="3"/>
        <v>149</v>
      </c>
      <c r="H10" s="125">
        <f t="shared" ca="1" si="4"/>
        <v>149</v>
      </c>
    </row>
    <row r="11" spans="2:8" ht="12">
      <c r="B11" s="125" t="s">
        <v>89</v>
      </c>
      <c r="C11" s="125" t="s">
        <v>99</v>
      </c>
      <c r="D11" s="125">
        <f t="shared" ca="1" si="0"/>
        <v>0</v>
      </c>
      <c r="E11" s="125">
        <f t="shared" ca="1" si="1"/>
        <v>0</v>
      </c>
      <c r="F11" s="125">
        <f t="shared" ca="1" si="2"/>
        <v>0</v>
      </c>
      <c r="G11" s="125">
        <f t="shared" ca="1" si="3"/>
        <v>22</v>
      </c>
      <c r="H11" s="125">
        <f t="shared" ca="1" si="4"/>
        <v>22</v>
      </c>
    </row>
    <row r="12" spans="2:8" ht="12">
      <c r="B12" s="125" t="s">
        <v>89</v>
      </c>
      <c r="C12" s="125" t="s">
        <v>100</v>
      </c>
      <c r="D12" s="125">
        <f t="shared" ca="1" si="0"/>
        <v>0</v>
      </c>
      <c r="E12" s="125">
        <f t="shared" ca="1" si="1"/>
        <v>0</v>
      </c>
      <c r="F12" s="125">
        <f t="shared" ca="1" si="2"/>
        <v>0</v>
      </c>
      <c r="G12" s="125">
        <f t="shared" ca="1" si="3"/>
        <v>183</v>
      </c>
      <c r="H12" s="125">
        <f t="shared" ca="1" si="4"/>
        <v>183</v>
      </c>
    </row>
    <row r="13" spans="2:8" ht="12">
      <c r="B13" s="125" t="s">
        <v>64</v>
      </c>
      <c r="C13" s="125" t="s">
        <v>64</v>
      </c>
      <c r="D13" s="125">
        <f ca="1">SUM(D5:D12)</f>
        <v>318</v>
      </c>
      <c r="E13" s="139">
        <f ca="1">SUM(E5:E12)</f>
        <v>49</v>
      </c>
      <c r="F13" s="139">
        <f ca="1">SUM(F5:F12)</f>
        <v>36</v>
      </c>
      <c r="G13" s="139">
        <f ca="1">SUM(G5:G12)</f>
        <v>399</v>
      </c>
      <c r="H13" s="139">
        <f ca="1">SUM(H5:H12)</f>
        <v>802</v>
      </c>
    </row>
    <row r="14" spans="2:8" ht="12">
      <c r="B14" s="125" t="s">
        <v>65</v>
      </c>
      <c r="C14" s="125" t="s">
        <v>65</v>
      </c>
      <c r="D14" s="126">
        <f ca="1">D13/$H13</f>
        <v>0.39650872817955113</v>
      </c>
      <c r="E14" s="126">
        <f ca="1">E13/$H13</f>
        <v>6.1097256857855359E-2</v>
      </c>
      <c r="F14" s="126">
        <f ca="1">F13/$H13</f>
        <v>4.488778054862843E-2</v>
      </c>
      <c r="G14" s="126">
        <f ca="1">G13/$H13</f>
        <v>0.49750623441396508</v>
      </c>
      <c r="H14" s="126">
        <f ca="1">H13/$H13</f>
        <v>1</v>
      </c>
    </row>
  </sheetData>
  <pageMargins left="0.25" right="0.25" top="0.75" bottom="0.75" header="0.3" footer="0.3"/>
  <pageSetup paperSize="9" scale="95" orientation="portrait" horizontalDpi="200" verticalDpi="200" r:id="rId1"/>
  <headerFooter>
    <oddHeader>&amp;L&amp;G</oddHeader>
    <oddFooter>&amp;LTemplate ID: TP_TE_TestCase_V.2.0.0
Copyright&amp;RFile Name: &amp;F
Page: &amp;P/&amp;N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4980" r:id="rId5" name="Button 4">
              <controlPr defaultSize="0" print="0" autoFill="0" autoPict="0" macro="[0]!Sheet8.Cal_Test_Cases_Summary">
                <anchor moveWithCells="1" sizeWithCells="1">
                  <from>
                    <xdr:col>1</xdr:col>
                    <xdr:colOff>30480</xdr:colOff>
                    <xdr:row>0</xdr:row>
                    <xdr:rowOff>137160</xdr:rowOff>
                  </from>
                  <to>
                    <xdr:col>1</xdr:col>
                    <xdr:colOff>1257300</xdr:colOff>
                    <xdr:row>0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3:I15"/>
  <sheetViews>
    <sheetView workbookViewId="0">
      <selection activeCell="G4" sqref="G4"/>
    </sheetView>
  </sheetViews>
  <sheetFormatPr defaultRowHeight="10.199999999999999"/>
  <cols>
    <col min="1" max="2" width="3.7109375" bestFit="1" customWidth="1"/>
    <col min="3" max="3" width="50.28515625" customWidth="1"/>
    <col min="4" max="4" width="22.140625" bestFit="1" customWidth="1"/>
    <col min="5" max="5" width="42.140625" customWidth="1"/>
    <col min="6" max="6" width="5.7109375" bestFit="1" customWidth="1"/>
    <col min="7" max="7" width="88.140625" customWidth="1"/>
    <col min="8" max="8" width="40.42578125" customWidth="1"/>
  </cols>
  <sheetData>
    <row r="3" spans="2:9" ht="26.4">
      <c r="B3" s="153" t="s">
        <v>141</v>
      </c>
      <c r="C3" s="153" t="s">
        <v>142</v>
      </c>
      <c r="D3" s="154" t="s">
        <v>143</v>
      </c>
      <c r="E3" s="154" t="s">
        <v>144</v>
      </c>
      <c r="F3" s="155" t="s">
        <v>145</v>
      </c>
      <c r="G3" s="155" t="s">
        <v>169</v>
      </c>
      <c r="H3" s="155" t="s">
        <v>170</v>
      </c>
    </row>
    <row r="4" spans="2:9" ht="13.2">
      <c r="B4" s="156">
        <v>1</v>
      </c>
      <c r="C4" s="157" t="s">
        <v>101</v>
      </c>
      <c r="D4" s="158" t="s">
        <v>146</v>
      </c>
      <c r="E4" s="158"/>
      <c r="F4" s="159">
        <v>7</v>
      </c>
      <c r="G4" s="418" t="s">
        <v>1038</v>
      </c>
      <c r="H4" s="419" t="s">
        <v>147</v>
      </c>
    </row>
    <row r="5" spans="2:9" ht="13.2">
      <c r="B5" s="156">
        <v>2</v>
      </c>
      <c r="C5" s="157" t="s">
        <v>148</v>
      </c>
      <c r="D5" s="158" t="s">
        <v>146</v>
      </c>
      <c r="E5" s="158"/>
      <c r="F5" s="159">
        <v>26</v>
      </c>
      <c r="G5" s="160" t="s">
        <v>149</v>
      </c>
      <c r="H5" s="170"/>
    </row>
    <row r="6" spans="2:9" ht="13.2">
      <c r="B6" s="156">
        <v>3</v>
      </c>
      <c r="C6" s="157" t="s">
        <v>150</v>
      </c>
      <c r="D6" s="158" t="s">
        <v>146</v>
      </c>
      <c r="E6" s="158"/>
      <c r="F6" s="159">
        <v>45</v>
      </c>
      <c r="G6" s="160" t="s">
        <v>151</v>
      </c>
      <c r="H6" s="171"/>
      <c r="I6" s="161"/>
    </row>
    <row r="7" spans="2:9" ht="13.2">
      <c r="B7" s="156">
        <v>4</v>
      </c>
      <c r="C7" s="157" t="s">
        <v>152</v>
      </c>
      <c r="D7" s="158" t="s">
        <v>146</v>
      </c>
      <c r="E7" s="158"/>
      <c r="F7" s="159">
        <v>64</v>
      </c>
      <c r="G7" s="160" t="s">
        <v>153</v>
      </c>
      <c r="H7" s="172"/>
      <c r="I7" s="162"/>
    </row>
    <row r="8" spans="2:9" ht="26.4">
      <c r="B8" s="156">
        <v>5</v>
      </c>
      <c r="C8" s="157" t="s">
        <v>154</v>
      </c>
      <c r="D8" s="163" t="s">
        <v>155</v>
      </c>
      <c r="E8" s="163"/>
      <c r="F8" s="164">
        <v>83</v>
      </c>
      <c r="G8" s="418" t="s">
        <v>156</v>
      </c>
      <c r="H8" s="172"/>
      <c r="I8" s="162"/>
    </row>
    <row r="9" spans="2:9" ht="26.4">
      <c r="B9" s="156">
        <v>6</v>
      </c>
      <c r="C9" s="157" t="s">
        <v>157</v>
      </c>
      <c r="D9" s="163" t="s">
        <v>155</v>
      </c>
      <c r="E9" s="163"/>
      <c r="F9" s="164">
        <v>99</v>
      </c>
      <c r="G9" s="160" t="s">
        <v>158</v>
      </c>
      <c r="H9" s="172"/>
      <c r="I9" s="162"/>
    </row>
    <row r="10" spans="2:9" ht="79.2">
      <c r="B10" s="165">
        <v>7</v>
      </c>
      <c r="C10" s="166" t="s">
        <v>159</v>
      </c>
      <c r="D10" s="167" t="s">
        <v>155</v>
      </c>
      <c r="E10" s="158" t="s">
        <v>160</v>
      </c>
      <c r="F10" s="168">
        <v>115</v>
      </c>
      <c r="G10" s="169" t="s">
        <v>161</v>
      </c>
      <c r="H10" s="172"/>
      <c r="I10" s="162"/>
    </row>
    <row r="11" spans="2:9" ht="13.2">
      <c r="B11" s="156">
        <v>8</v>
      </c>
      <c r="C11" s="157" t="s">
        <v>162</v>
      </c>
      <c r="D11" s="158" t="s">
        <v>163</v>
      </c>
      <c r="E11" s="158" t="s">
        <v>164</v>
      </c>
      <c r="F11" s="159">
        <v>121</v>
      </c>
      <c r="G11" s="160" t="s">
        <v>165</v>
      </c>
      <c r="H11" s="172"/>
      <c r="I11" s="162"/>
    </row>
    <row r="12" spans="2:9" ht="13.2">
      <c r="B12" s="156">
        <v>9</v>
      </c>
      <c r="C12" s="157" t="s">
        <v>166</v>
      </c>
      <c r="D12" s="158" t="s">
        <v>163</v>
      </c>
      <c r="E12" s="158" t="s">
        <v>167</v>
      </c>
      <c r="F12" s="159">
        <v>159</v>
      </c>
      <c r="G12" s="160" t="s">
        <v>168</v>
      </c>
      <c r="H12" s="172"/>
      <c r="I12" s="162"/>
    </row>
    <row r="13" spans="2:9" ht="13.2">
      <c r="G13" s="162"/>
      <c r="H13" s="162"/>
      <c r="I13" s="162"/>
    </row>
    <row r="14" spans="2:9" ht="13.2">
      <c r="G14" s="162"/>
      <c r="H14" s="162"/>
      <c r="I14" s="162"/>
    </row>
    <row r="15" spans="2:9" ht="13.2">
      <c r="G15" s="162"/>
      <c r="H15" s="162"/>
      <c r="I15" s="162"/>
    </row>
  </sheetData>
  <hyperlinks>
    <hyperlink ref="G4" r:id="rId1" xr:uid="{00000000-0004-0000-0600-000000000000}"/>
    <hyperlink ref="G5" r:id="rId2" xr:uid="{00000000-0004-0000-0600-000001000000}"/>
    <hyperlink ref="G6" r:id="rId3" xr:uid="{00000000-0004-0000-0600-000002000000}"/>
    <hyperlink ref="G7" r:id="rId4" xr:uid="{00000000-0004-0000-0600-000003000000}"/>
    <hyperlink ref="G8" r:id="rId5" xr:uid="{00000000-0004-0000-0600-000004000000}"/>
    <hyperlink ref="G9" r:id="rId6" xr:uid="{00000000-0004-0000-0600-000005000000}"/>
    <hyperlink ref="G10" r:id="rId7" xr:uid="{00000000-0004-0000-0600-000006000000}"/>
    <hyperlink ref="G11" r:id="rId8" xr:uid="{00000000-0004-0000-0600-000007000000}"/>
    <hyperlink ref="G12" r:id="rId9" xr:uid="{00000000-0004-0000-0600-000008000000}"/>
    <hyperlink ref="H4" r:id="rId10" xr:uid="{00000000-0004-0000-0600-000009000000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Z37"/>
  <sheetViews>
    <sheetView showGridLines="0" tabSelected="1" topLeftCell="E28" zoomScaleNormal="100" workbookViewId="0">
      <selection activeCell="N33" sqref="N33"/>
    </sheetView>
  </sheetViews>
  <sheetFormatPr defaultColWidth="9.28515625" defaultRowHeight="11.4"/>
  <cols>
    <col min="1" max="1" width="11.85546875" style="10" hidden="1" customWidth="1"/>
    <col min="2" max="2" width="14.85546875" style="2" hidden="1" customWidth="1"/>
    <col min="3" max="3" width="17.28515625" style="2" hidden="1" customWidth="1"/>
    <col min="4" max="4" width="18.28515625" style="2" hidden="1" customWidth="1"/>
    <col min="5" max="5" width="8.42578125" style="2" customWidth="1"/>
    <col min="6" max="6" width="25.28515625" style="2" customWidth="1"/>
    <col min="7" max="7" width="39.85546875" style="2" customWidth="1"/>
    <col min="8" max="8" width="13.28515625" style="2" customWidth="1"/>
    <col min="9" max="9" width="18.42578125" style="2" customWidth="1"/>
    <col min="10" max="10" width="51.28515625" style="2" customWidth="1"/>
    <col min="11" max="11" width="42.42578125" style="2" customWidth="1"/>
    <col min="12" max="12" width="9.85546875" style="2" customWidth="1"/>
    <col min="13" max="13" width="9.42578125" style="2" customWidth="1"/>
    <col min="14" max="14" width="9.7109375" style="2" customWidth="1"/>
    <col min="15" max="15" width="14.28515625" style="2" customWidth="1"/>
    <col min="16" max="16" width="99.7109375" style="2" customWidth="1"/>
    <col min="17" max="16384" width="9.28515625" style="2"/>
  </cols>
  <sheetData>
    <row r="1" spans="1:26" ht="18.75" customHeight="1" thickBot="1">
      <c r="K1" s="1"/>
      <c r="L1" s="1"/>
      <c r="M1" s="1"/>
      <c r="N1" s="1"/>
    </row>
    <row r="2" spans="1:26" s="1" customFormat="1" ht="33" customHeight="1">
      <c r="A2" s="11"/>
      <c r="E2" s="32" t="s">
        <v>10</v>
      </c>
      <c r="F2" s="33"/>
      <c r="G2" s="491" t="s">
        <v>93</v>
      </c>
      <c r="H2" s="492"/>
      <c r="I2" s="493"/>
      <c r="J2" s="7"/>
      <c r="K2" s="82" t="s">
        <v>22</v>
      </c>
      <c r="L2" s="470" t="s">
        <v>75</v>
      </c>
      <c r="M2" s="471"/>
      <c r="N2" s="471"/>
      <c r="O2" s="472"/>
    </row>
    <row r="3" spans="1:26" s="1" customFormat="1" ht="22.5" customHeight="1">
      <c r="A3" s="11"/>
      <c r="E3" s="34" t="s">
        <v>9</v>
      </c>
      <c r="F3" s="35"/>
      <c r="G3" s="480" t="str">
        <f>VLOOKUP(G2,'Test Case'!F13:G65515,2,TRUE)</f>
        <v>ทดสอบการบันทึกรหัสเครื่องหมายการค้าหลักในกรณี Happy Flow</v>
      </c>
      <c r="H3" s="481"/>
      <c r="I3" s="482"/>
      <c r="J3" s="8"/>
      <c r="K3" s="36" t="s">
        <v>6</v>
      </c>
      <c r="L3" s="473" t="s">
        <v>77</v>
      </c>
      <c r="M3" s="474"/>
      <c r="N3" s="474"/>
      <c r="O3" s="475"/>
    </row>
    <row r="4" spans="1:26" s="1" customFormat="1" ht="23.25" customHeight="1" thickBot="1">
      <c r="A4" s="11"/>
      <c r="E4" s="34"/>
      <c r="F4" s="35"/>
      <c r="G4" s="483"/>
      <c r="H4" s="484"/>
      <c r="I4" s="485"/>
      <c r="J4" s="8"/>
      <c r="K4" s="36" t="s">
        <v>11</v>
      </c>
      <c r="L4" s="476" t="s">
        <v>69</v>
      </c>
      <c r="M4" s="477"/>
      <c r="N4" s="477"/>
      <c r="O4" s="478"/>
    </row>
    <row r="5" spans="1:26" s="1" customFormat="1" ht="22.5" customHeight="1">
      <c r="A5" s="11"/>
      <c r="E5" s="130"/>
      <c r="F5" s="131"/>
      <c r="G5" s="128"/>
      <c r="H5" s="494"/>
      <c r="I5" s="494"/>
      <c r="J5" s="5"/>
      <c r="K5" s="36" t="s">
        <v>4</v>
      </c>
      <c r="L5" s="476" t="s">
        <v>76</v>
      </c>
      <c r="M5" s="477"/>
      <c r="N5" s="477"/>
      <c r="O5" s="478"/>
    </row>
    <row r="6" spans="1:26" s="1" customFormat="1" ht="22.5" customHeight="1">
      <c r="A6" s="11"/>
      <c r="E6" s="130"/>
      <c r="F6" s="131"/>
      <c r="G6" s="129"/>
      <c r="H6" s="494"/>
      <c r="I6" s="494"/>
      <c r="J6" s="5"/>
      <c r="K6" s="36" t="s">
        <v>55</v>
      </c>
      <c r="L6" s="479">
        <v>43330</v>
      </c>
      <c r="M6" s="477"/>
      <c r="N6" s="477"/>
      <c r="O6" s="478"/>
    </row>
    <row r="7" spans="1:26" s="1" customFormat="1" ht="22.5" customHeight="1" thickBot="1">
      <c r="A7" s="11"/>
      <c r="E7" s="130"/>
      <c r="F7" s="131"/>
      <c r="G7" s="128"/>
      <c r="H7" s="506"/>
      <c r="I7" s="507"/>
      <c r="J7" s="5"/>
      <c r="K7" s="37" t="s">
        <v>54</v>
      </c>
      <c r="L7" s="510">
        <f>G11</f>
        <v>22</v>
      </c>
      <c r="M7" s="511"/>
      <c r="N7" s="511"/>
      <c r="O7" s="512"/>
    </row>
    <row r="8" spans="1:26" s="1" customFormat="1" ht="22.5" customHeight="1">
      <c r="A8" s="11"/>
      <c r="E8" s="130"/>
      <c r="F8" s="131"/>
      <c r="G8" s="129"/>
      <c r="H8" s="507"/>
      <c r="I8" s="507"/>
      <c r="J8" s="5"/>
      <c r="K8"/>
      <c r="N8" s="9"/>
    </row>
    <row r="9" spans="1:26" s="1" customFormat="1" ht="22.5" customHeight="1">
      <c r="A9" s="11"/>
      <c r="H9" s="2"/>
      <c r="I9" s="2"/>
      <c r="J9" s="5"/>
      <c r="K9"/>
      <c r="M9" s="2"/>
      <c r="N9" s="9"/>
    </row>
    <row r="10" spans="1:26" s="1" customFormat="1" ht="29.25" customHeight="1" thickBot="1">
      <c r="A10" s="11"/>
      <c r="J10" s="5"/>
      <c r="K10" s="2"/>
      <c r="L10" s="2"/>
      <c r="M10" s="4"/>
      <c r="N10" s="4"/>
      <c r="O10" s="4"/>
    </row>
    <row r="11" spans="1:26" s="1" customFormat="1" ht="29.25" customHeight="1">
      <c r="A11" s="89"/>
      <c r="B11" s="90"/>
      <c r="C11" s="90"/>
      <c r="D11" s="90"/>
      <c r="E11" s="508" t="s">
        <v>45</v>
      </c>
      <c r="F11" s="509"/>
      <c r="G11" s="93">
        <f>COUNTA(G14:G36)</f>
        <v>22</v>
      </c>
      <c r="H11" s="488" t="s">
        <v>51</v>
      </c>
      <c r="I11" s="488" t="s">
        <v>5</v>
      </c>
      <c r="J11" s="488" t="s">
        <v>3</v>
      </c>
      <c r="K11" s="498" t="s">
        <v>13</v>
      </c>
      <c r="L11" s="501" t="s">
        <v>48</v>
      </c>
      <c r="M11" s="502"/>
      <c r="N11" s="503"/>
      <c r="O11" s="495" t="s">
        <v>52</v>
      </c>
      <c r="P11" s="495" t="s">
        <v>1155</v>
      </c>
    </row>
    <row r="12" spans="1:26" s="1" customFormat="1" ht="16.5" customHeight="1" thickBot="1">
      <c r="A12" s="91"/>
      <c r="B12" s="92" t="s">
        <v>77</v>
      </c>
      <c r="C12" s="92"/>
      <c r="D12" s="92"/>
      <c r="E12" s="504">
        <f>COUNTA(E15:E36)</f>
        <v>8</v>
      </c>
      <c r="F12" s="505"/>
      <c r="G12" s="486" t="s">
        <v>44</v>
      </c>
      <c r="H12" s="489"/>
      <c r="I12" s="489"/>
      <c r="J12" s="489"/>
      <c r="K12" s="499"/>
      <c r="L12" s="94">
        <f>COUNTA(L14:L36)</f>
        <v>17</v>
      </c>
      <c r="M12" s="95">
        <f>COUNTA(M14:M36)</f>
        <v>4</v>
      </c>
      <c r="N12" s="96">
        <f>COUNTA(N14:N36)</f>
        <v>1</v>
      </c>
      <c r="O12" s="496"/>
      <c r="P12" s="496"/>
    </row>
    <row r="13" spans="1:26" s="1" customFormat="1" ht="22.5" customHeight="1" thickBot="1">
      <c r="A13" s="23" t="s">
        <v>7</v>
      </c>
      <c r="B13" s="24" t="s">
        <v>18</v>
      </c>
      <c r="C13" s="25" t="s">
        <v>19</v>
      </c>
      <c r="D13" s="25" t="s">
        <v>17</v>
      </c>
      <c r="E13" s="97" t="s">
        <v>43</v>
      </c>
      <c r="F13" s="132" t="s">
        <v>12</v>
      </c>
      <c r="G13" s="487"/>
      <c r="H13" s="490"/>
      <c r="I13" s="490"/>
      <c r="J13" s="490"/>
      <c r="K13" s="500"/>
      <c r="L13" s="99" t="s">
        <v>42</v>
      </c>
      <c r="M13" s="100" t="s">
        <v>47</v>
      </c>
      <c r="N13" s="101" t="s">
        <v>53</v>
      </c>
      <c r="O13" s="497"/>
      <c r="P13" s="496"/>
    </row>
    <row r="14" spans="1:26" s="209" customFormat="1" ht="409.6">
      <c r="A14" s="201"/>
      <c r="B14" s="202"/>
      <c r="C14" s="202"/>
      <c r="D14" s="203"/>
      <c r="E14" s="204">
        <v>1</v>
      </c>
      <c r="F14" s="205" t="s">
        <v>102</v>
      </c>
      <c r="G14" s="205" t="s">
        <v>1178</v>
      </c>
      <c r="H14" s="463">
        <v>43340</v>
      </c>
      <c r="I14" s="462"/>
      <c r="J14" s="205" t="s">
        <v>1179</v>
      </c>
      <c r="K14" s="205" t="s">
        <v>1179</v>
      </c>
      <c r="L14" s="222" t="s">
        <v>1009</v>
      </c>
      <c r="M14" s="213"/>
      <c r="N14" s="213"/>
      <c r="O14" s="439"/>
      <c r="P14" s="188"/>
      <c r="Q14" s="208"/>
      <c r="R14" s="208"/>
      <c r="S14" s="208"/>
      <c r="T14" s="208"/>
      <c r="U14" s="208"/>
      <c r="V14" s="208"/>
      <c r="W14" s="208"/>
      <c r="X14" s="208"/>
      <c r="Y14" s="208"/>
      <c r="Z14" s="208"/>
    </row>
    <row r="15" spans="1:26" s="209" customFormat="1" ht="57">
      <c r="A15" s="201" t="e">
        <f t="shared" ref="A15:B15" si="0">#REF!</f>
        <v>#REF!</v>
      </c>
      <c r="B15" s="202" t="e">
        <f t="shared" si="0"/>
        <v>#REF!</v>
      </c>
      <c r="C15" s="202">
        <f>$I$5</f>
        <v>0</v>
      </c>
      <c r="D15" s="203">
        <f>$I$7</f>
        <v>0</v>
      </c>
      <c r="E15" s="210">
        <v>2</v>
      </c>
      <c r="F15" s="211" t="s">
        <v>103</v>
      </c>
      <c r="G15" s="211" t="s">
        <v>1180</v>
      </c>
      <c r="H15" s="463">
        <v>43340</v>
      </c>
      <c r="I15" s="212"/>
      <c r="J15" s="211" t="s">
        <v>104</v>
      </c>
      <c r="K15" s="211" t="s">
        <v>104</v>
      </c>
      <c r="L15" s="222" t="s">
        <v>1009</v>
      </c>
      <c r="M15" s="213"/>
      <c r="N15" s="213"/>
      <c r="O15" s="439"/>
      <c r="P15" s="188"/>
      <c r="Q15" s="208"/>
      <c r="R15" s="208"/>
      <c r="S15" s="208"/>
      <c r="T15" s="208"/>
      <c r="U15" s="208"/>
      <c r="V15" s="208"/>
      <c r="W15" s="208"/>
      <c r="X15" s="208"/>
      <c r="Y15" s="208"/>
      <c r="Z15" s="208"/>
    </row>
    <row r="16" spans="1:26" s="209" customFormat="1" ht="45.6">
      <c r="A16" s="201"/>
      <c r="B16" s="202"/>
      <c r="C16" s="202"/>
      <c r="D16" s="203"/>
      <c r="E16" s="210"/>
      <c r="F16" s="211"/>
      <c r="G16" s="211" t="s">
        <v>1181</v>
      </c>
      <c r="H16" s="463">
        <v>43340</v>
      </c>
      <c r="I16" s="212"/>
      <c r="J16" s="211" t="s">
        <v>105</v>
      </c>
      <c r="K16" s="211" t="s">
        <v>105</v>
      </c>
      <c r="L16" s="222" t="s">
        <v>1009</v>
      </c>
      <c r="M16" s="213"/>
      <c r="N16" s="213"/>
      <c r="O16" s="439"/>
      <c r="P16" s="188"/>
      <c r="Q16" s="208"/>
      <c r="R16" s="208"/>
      <c r="S16" s="208"/>
      <c r="T16" s="208"/>
      <c r="U16" s="208"/>
      <c r="V16" s="208"/>
      <c r="W16" s="208"/>
      <c r="X16" s="208"/>
      <c r="Y16" s="208"/>
      <c r="Z16" s="208"/>
    </row>
    <row r="17" spans="1:26" s="209" customFormat="1" ht="45.6">
      <c r="A17" s="201"/>
      <c r="B17" s="202"/>
      <c r="C17" s="202"/>
      <c r="D17" s="203"/>
      <c r="E17" s="210">
        <v>3</v>
      </c>
      <c r="F17" s="211" t="s">
        <v>107</v>
      </c>
      <c r="G17" s="211" t="s">
        <v>1182</v>
      </c>
      <c r="H17" s="463">
        <v>43340</v>
      </c>
      <c r="I17" s="212"/>
      <c r="J17" s="211" t="s">
        <v>108</v>
      </c>
      <c r="K17" s="211"/>
      <c r="L17" s="222" t="s">
        <v>1009</v>
      </c>
      <c r="M17" s="213"/>
      <c r="N17" s="213"/>
      <c r="O17" s="439"/>
      <c r="P17" s="188"/>
      <c r="Q17" s="208"/>
      <c r="R17" s="208"/>
      <c r="S17" s="208"/>
      <c r="T17" s="208"/>
      <c r="U17" s="208"/>
      <c r="V17" s="208"/>
      <c r="W17" s="208"/>
      <c r="X17" s="208"/>
      <c r="Y17" s="208"/>
      <c r="Z17" s="208"/>
    </row>
    <row r="18" spans="1:26" s="209" customFormat="1" ht="45.6">
      <c r="A18" s="201"/>
      <c r="B18" s="202"/>
      <c r="C18" s="202"/>
      <c r="D18" s="203"/>
      <c r="E18" s="210"/>
      <c r="F18" s="211"/>
      <c r="G18" s="211" t="s">
        <v>1183</v>
      </c>
      <c r="H18" s="463">
        <v>43340</v>
      </c>
      <c r="I18" s="212"/>
      <c r="J18" s="211" t="s">
        <v>109</v>
      </c>
      <c r="K18" s="211" t="s">
        <v>109</v>
      </c>
      <c r="L18" s="222" t="s">
        <v>1009</v>
      </c>
      <c r="M18" s="213"/>
      <c r="N18" s="213"/>
      <c r="O18" s="439"/>
      <c r="P18" s="188"/>
      <c r="Q18" s="208"/>
      <c r="R18" s="208"/>
      <c r="S18" s="208"/>
      <c r="T18" s="208"/>
      <c r="U18" s="208"/>
      <c r="V18" s="208"/>
      <c r="W18" s="208"/>
      <c r="X18" s="208"/>
      <c r="Y18" s="208"/>
      <c r="Z18" s="208"/>
    </row>
    <row r="19" spans="1:26" s="209" customFormat="1" ht="57">
      <c r="A19" s="201" t="e">
        <f t="shared" ref="A19:B19" si="1">#REF!</f>
        <v>#REF!</v>
      </c>
      <c r="B19" s="202" t="e">
        <f t="shared" si="1"/>
        <v>#REF!</v>
      </c>
      <c r="C19" s="202">
        <f>$I$5</f>
        <v>0</v>
      </c>
      <c r="D19" s="203">
        <f>$I$7</f>
        <v>0</v>
      </c>
      <c r="E19" s="210"/>
      <c r="F19" s="211"/>
      <c r="G19" s="211" t="s">
        <v>1184</v>
      </c>
      <c r="H19" s="463">
        <v>43340</v>
      </c>
      <c r="I19" s="212"/>
      <c r="J19" s="211" t="s">
        <v>110</v>
      </c>
      <c r="K19" s="211" t="s">
        <v>110</v>
      </c>
      <c r="L19" s="222" t="s">
        <v>1009</v>
      </c>
      <c r="M19" s="213"/>
      <c r="N19" s="213"/>
      <c r="O19" s="439"/>
      <c r="P19" s="188"/>
      <c r="Q19" s="208"/>
      <c r="R19" s="208"/>
      <c r="S19" s="208"/>
      <c r="T19" s="208"/>
      <c r="U19" s="208"/>
      <c r="V19" s="208"/>
      <c r="W19" s="208"/>
      <c r="X19" s="208"/>
      <c r="Y19" s="208"/>
      <c r="Z19" s="208"/>
    </row>
    <row r="20" spans="1:26" s="209" customFormat="1" ht="57">
      <c r="A20" s="201"/>
      <c r="B20" s="202"/>
      <c r="C20" s="202"/>
      <c r="D20" s="203"/>
      <c r="E20" s="210"/>
      <c r="F20" s="211"/>
      <c r="G20" s="211" t="s">
        <v>1185</v>
      </c>
      <c r="H20" s="463">
        <v>43340</v>
      </c>
      <c r="I20" s="212"/>
      <c r="J20" s="211" t="s">
        <v>111</v>
      </c>
      <c r="K20" s="211" t="s">
        <v>111</v>
      </c>
      <c r="L20" s="222" t="s">
        <v>1009</v>
      </c>
      <c r="M20" s="213"/>
      <c r="N20" s="213"/>
      <c r="O20" s="439"/>
      <c r="P20" s="188"/>
      <c r="Q20" s="208"/>
      <c r="R20" s="208"/>
      <c r="S20" s="208"/>
      <c r="T20" s="208"/>
      <c r="U20" s="208"/>
      <c r="V20" s="208"/>
      <c r="W20" s="208"/>
      <c r="X20" s="208"/>
      <c r="Y20" s="208"/>
      <c r="Z20" s="208"/>
    </row>
    <row r="21" spans="1:26" s="209" customFormat="1" ht="45.6">
      <c r="A21" s="201" t="e">
        <f t="shared" ref="A21:B21" si="2">#REF!</f>
        <v>#REF!</v>
      </c>
      <c r="B21" s="202" t="e">
        <f t="shared" si="2"/>
        <v>#REF!</v>
      </c>
      <c r="C21" s="202">
        <f>$I$5</f>
        <v>0</v>
      </c>
      <c r="D21" s="203">
        <f>$I$7</f>
        <v>0</v>
      </c>
      <c r="E21" s="210">
        <v>4</v>
      </c>
      <c r="F21" s="211" t="s">
        <v>112</v>
      </c>
      <c r="G21" s="211" t="s">
        <v>113</v>
      </c>
      <c r="H21" s="463">
        <v>43340</v>
      </c>
      <c r="I21" s="212"/>
      <c r="J21" s="211" t="s">
        <v>114</v>
      </c>
      <c r="K21" s="211" t="s">
        <v>1157</v>
      </c>
      <c r="L21" s="222"/>
      <c r="M21" s="213" t="s">
        <v>1009</v>
      </c>
      <c r="N21" s="213"/>
      <c r="O21" s="439"/>
      <c r="P21" s="188"/>
      <c r="Q21" s="208"/>
      <c r="R21" s="208"/>
      <c r="S21" s="208"/>
      <c r="T21" s="208"/>
      <c r="U21" s="208"/>
      <c r="V21" s="208"/>
      <c r="W21" s="208"/>
      <c r="X21" s="208"/>
      <c r="Y21" s="208"/>
      <c r="Z21" s="208"/>
    </row>
    <row r="22" spans="1:26" s="209" customFormat="1" ht="34.200000000000003">
      <c r="A22" s="201"/>
      <c r="B22" s="202"/>
      <c r="C22" s="202"/>
      <c r="D22" s="203"/>
      <c r="E22" s="210"/>
      <c r="F22" s="211"/>
      <c r="G22" s="211" t="s">
        <v>115</v>
      </c>
      <c r="H22" s="463">
        <v>43340</v>
      </c>
      <c r="I22" s="212"/>
      <c r="J22" s="211" t="s">
        <v>116</v>
      </c>
      <c r="K22" s="211" t="s">
        <v>1156</v>
      </c>
      <c r="L22" s="222"/>
      <c r="M22" s="213"/>
      <c r="N22" s="213" t="s">
        <v>1009</v>
      </c>
      <c r="O22" s="439"/>
      <c r="P22" s="188"/>
      <c r="Q22" s="208"/>
      <c r="R22" s="208"/>
      <c r="S22" s="208"/>
      <c r="T22" s="208"/>
      <c r="U22" s="208"/>
      <c r="V22" s="208"/>
      <c r="W22" s="208"/>
      <c r="X22" s="208"/>
      <c r="Y22" s="208"/>
      <c r="Z22" s="208"/>
    </row>
    <row r="23" spans="1:26" s="209" customFormat="1" ht="67.8" customHeight="1">
      <c r="A23" s="201"/>
      <c r="B23" s="202"/>
      <c r="C23" s="202"/>
      <c r="D23" s="203"/>
      <c r="E23" s="210">
        <v>5</v>
      </c>
      <c r="F23" s="211" t="s">
        <v>117</v>
      </c>
      <c r="G23" s="211" t="s">
        <v>1186</v>
      </c>
      <c r="H23" s="463">
        <v>43340</v>
      </c>
      <c r="I23" s="212"/>
      <c r="J23" s="211" t="s">
        <v>1187</v>
      </c>
      <c r="K23" s="211" t="s">
        <v>1187</v>
      </c>
      <c r="L23" s="222"/>
      <c r="M23" s="213" t="s">
        <v>1009</v>
      </c>
      <c r="N23" s="213"/>
      <c r="O23" s="439"/>
      <c r="P23" s="188"/>
      <c r="Q23" s="208"/>
      <c r="R23" s="208"/>
      <c r="S23" s="208"/>
      <c r="T23" s="208"/>
      <c r="U23" s="208"/>
      <c r="V23" s="208"/>
      <c r="W23" s="208"/>
      <c r="X23" s="208"/>
      <c r="Y23" s="208"/>
      <c r="Z23" s="208"/>
    </row>
    <row r="24" spans="1:26" s="209" customFormat="1" ht="79.8">
      <c r="A24" s="201"/>
      <c r="B24" s="202"/>
      <c r="C24" s="202"/>
      <c r="D24" s="203"/>
      <c r="E24" s="210">
        <v>6</v>
      </c>
      <c r="F24" s="211" t="s">
        <v>118</v>
      </c>
      <c r="G24" s="211" t="s">
        <v>1158</v>
      </c>
      <c r="H24" s="463">
        <v>43340</v>
      </c>
      <c r="I24" s="212"/>
      <c r="J24" s="211" t="s">
        <v>119</v>
      </c>
      <c r="K24" s="211" t="s">
        <v>1159</v>
      </c>
      <c r="L24" s="222" t="s">
        <v>1009</v>
      </c>
      <c r="M24" s="213"/>
      <c r="N24" s="213"/>
      <c r="O24" s="439"/>
      <c r="P24" s="188"/>
      <c r="Q24" s="208"/>
      <c r="R24" s="208"/>
      <c r="S24" s="208"/>
      <c r="T24" s="208"/>
      <c r="U24" s="208"/>
      <c r="V24" s="208"/>
      <c r="W24" s="208"/>
      <c r="X24" s="208"/>
      <c r="Y24" s="208"/>
      <c r="Z24" s="208"/>
    </row>
    <row r="25" spans="1:26" s="209" customFormat="1" ht="45.6">
      <c r="A25" s="201"/>
      <c r="B25" s="202"/>
      <c r="C25" s="202"/>
      <c r="D25" s="203"/>
      <c r="E25" s="210"/>
      <c r="F25" s="211"/>
      <c r="G25" s="211" t="s">
        <v>120</v>
      </c>
      <c r="H25" s="463">
        <v>43340</v>
      </c>
      <c r="I25" s="212"/>
      <c r="J25" s="211" t="s">
        <v>1161</v>
      </c>
      <c r="K25" s="211" t="s">
        <v>1161</v>
      </c>
      <c r="L25" s="222" t="s">
        <v>1009</v>
      </c>
      <c r="M25" s="213"/>
      <c r="N25" s="213"/>
      <c r="O25" s="439"/>
      <c r="P25" s="188"/>
      <c r="Q25" s="208"/>
      <c r="R25" s="208"/>
      <c r="S25" s="208"/>
      <c r="T25" s="208"/>
      <c r="U25" s="208"/>
      <c r="V25" s="208"/>
      <c r="W25" s="208"/>
      <c r="X25" s="208"/>
      <c r="Y25" s="208"/>
      <c r="Z25" s="208"/>
    </row>
    <row r="26" spans="1:26" s="209" customFormat="1" ht="34.200000000000003">
      <c r="A26" s="201"/>
      <c r="B26" s="202"/>
      <c r="C26" s="202"/>
      <c r="D26" s="203"/>
      <c r="E26" s="210"/>
      <c r="F26" s="211"/>
      <c r="G26" s="211" t="s">
        <v>1160</v>
      </c>
      <c r="H26" s="463">
        <v>43340</v>
      </c>
      <c r="I26" s="212"/>
      <c r="J26" s="211" t="s">
        <v>1162</v>
      </c>
      <c r="K26" s="211" t="s">
        <v>1162</v>
      </c>
      <c r="L26" s="222" t="s">
        <v>1009</v>
      </c>
      <c r="M26" s="213"/>
      <c r="N26" s="213"/>
      <c r="O26" s="439"/>
      <c r="P26" s="188"/>
      <c r="Q26" s="208"/>
      <c r="R26" s="208"/>
      <c r="S26" s="208"/>
      <c r="T26" s="208"/>
      <c r="U26" s="208"/>
      <c r="V26" s="208"/>
      <c r="W26" s="208"/>
      <c r="X26" s="208"/>
      <c r="Y26" s="208"/>
      <c r="Z26" s="208"/>
    </row>
    <row r="27" spans="1:26" s="209" customFormat="1" ht="85.8" customHeight="1">
      <c r="A27" s="201"/>
      <c r="B27" s="202"/>
      <c r="C27" s="202"/>
      <c r="D27" s="203"/>
      <c r="E27" s="210">
        <v>7</v>
      </c>
      <c r="F27" s="211" t="s">
        <v>121</v>
      </c>
      <c r="G27" s="211" t="s">
        <v>122</v>
      </c>
      <c r="H27" s="463">
        <v>43340</v>
      </c>
      <c r="I27" s="212"/>
      <c r="J27" s="211" t="s">
        <v>123</v>
      </c>
      <c r="K27" s="211" t="s">
        <v>123</v>
      </c>
      <c r="L27" s="222" t="s">
        <v>1009</v>
      </c>
      <c r="M27" s="213"/>
      <c r="N27" s="213"/>
      <c r="O27" s="439"/>
      <c r="P27" s="188"/>
      <c r="Q27" s="208"/>
      <c r="R27" s="208"/>
      <c r="S27" s="208"/>
      <c r="T27" s="208"/>
      <c r="U27" s="208"/>
      <c r="V27" s="208"/>
      <c r="W27" s="208"/>
      <c r="X27" s="208"/>
      <c r="Y27" s="208"/>
      <c r="Z27" s="208"/>
    </row>
    <row r="28" spans="1:26" s="209" customFormat="1" ht="34.200000000000003">
      <c r="A28" s="201"/>
      <c r="B28" s="202"/>
      <c r="C28" s="202"/>
      <c r="D28" s="203"/>
      <c r="E28" s="210"/>
      <c r="F28" s="211"/>
      <c r="G28" s="211" t="s">
        <v>124</v>
      </c>
      <c r="H28" s="463">
        <v>43340</v>
      </c>
      <c r="I28" s="212"/>
      <c r="J28" s="211" t="s">
        <v>125</v>
      </c>
      <c r="K28" s="211" t="s">
        <v>125</v>
      </c>
      <c r="L28" s="222" t="s">
        <v>1009</v>
      </c>
      <c r="M28" s="213"/>
      <c r="N28" s="213"/>
      <c r="O28" s="439"/>
      <c r="P28" s="188"/>
      <c r="Q28" s="208"/>
      <c r="R28" s="208"/>
      <c r="S28" s="208"/>
      <c r="T28" s="208"/>
      <c r="U28" s="208"/>
      <c r="V28" s="208"/>
      <c r="W28" s="208"/>
      <c r="X28" s="208"/>
      <c r="Y28" s="208"/>
      <c r="Z28" s="208"/>
    </row>
    <row r="29" spans="1:26" s="209" customFormat="1" ht="34.200000000000003">
      <c r="A29" s="201"/>
      <c r="B29" s="202"/>
      <c r="C29" s="202"/>
      <c r="D29" s="203"/>
      <c r="E29" s="210"/>
      <c r="F29" s="211"/>
      <c r="G29" s="211" t="s">
        <v>115</v>
      </c>
      <c r="H29" s="463">
        <v>43340</v>
      </c>
      <c r="I29" s="212"/>
      <c r="J29" s="211" t="s">
        <v>126</v>
      </c>
      <c r="K29" s="211" t="s">
        <v>1163</v>
      </c>
      <c r="L29" s="222"/>
      <c r="M29" s="213" t="s">
        <v>1009</v>
      </c>
      <c r="N29" s="213"/>
      <c r="O29" s="439"/>
      <c r="P29" s="188"/>
      <c r="Q29" s="208"/>
      <c r="R29" s="208"/>
      <c r="S29" s="208"/>
      <c r="T29" s="208"/>
      <c r="U29" s="208"/>
      <c r="V29" s="208"/>
      <c r="W29" s="208"/>
      <c r="X29" s="208"/>
      <c r="Y29" s="208"/>
      <c r="Z29" s="208"/>
    </row>
    <row r="30" spans="1:26" s="209" customFormat="1" ht="34.200000000000003">
      <c r="A30" s="201"/>
      <c r="B30" s="202"/>
      <c r="C30" s="202"/>
      <c r="D30" s="203"/>
      <c r="E30" s="210"/>
      <c r="F30" s="211"/>
      <c r="G30" s="211" t="s">
        <v>127</v>
      </c>
      <c r="H30" s="463">
        <v>43340</v>
      </c>
      <c r="I30" s="212"/>
      <c r="J30" s="211" t="s">
        <v>128</v>
      </c>
      <c r="K30" s="211" t="s">
        <v>1164</v>
      </c>
      <c r="L30" s="222"/>
      <c r="M30" s="213" t="s">
        <v>1009</v>
      </c>
      <c r="N30" s="213"/>
      <c r="O30" s="439"/>
      <c r="P30" s="188"/>
      <c r="Q30" s="208"/>
      <c r="R30" s="208"/>
      <c r="S30" s="208"/>
      <c r="T30" s="208"/>
      <c r="U30" s="208"/>
      <c r="V30" s="208"/>
      <c r="W30" s="208"/>
      <c r="X30" s="208"/>
      <c r="Y30" s="208"/>
      <c r="Z30" s="208"/>
    </row>
    <row r="31" spans="1:26" s="209" customFormat="1" ht="45.6">
      <c r="A31" s="201"/>
      <c r="B31" s="202"/>
      <c r="C31" s="202"/>
      <c r="D31" s="203"/>
      <c r="E31" s="210">
        <v>8</v>
      </c>
      <c r="F31" s="211" t="s">
        <v>129</v>
      </c>
      <c r="G31" s="211" t="s">
        <v>130</v>
      </c>
      <c r="H31" s="463">
        <v>43340</v>
      </c>
      <c r="I31" s="212"/>
      <c r="J31" s="211" t="s">
        <v>131</v>
      </c>
      <c r="K31" s="211" t="s">
        <v>131</v>
      </c>
      <c r="L31" s="222" t="s">
        <v>1009</v>
      </c>
      <c r="M31" s="213"/>
      <c r="N31" s="213"/>
      <c r="O31" s="439"/>
      <c r="P31" s="188"/>
      <c r="Q31" s="208"/>
      <c r="R31" s="208"/>
      <c r="S31" s="208"/>
      <c r="T31" s="208"/>
      <c r="U31" s="208"/>
      <c r="V31" s="208"/>
      <c r="W31" s="208"/>
      <c r="X31" s="208"/>
      <c r="Y31" s="208"/>
      <c r="Z31" s="208"/>
    </row>
    <row r="32" spans="1:26" s="209" customFormat="1" ht="34.200000000000003">
      <c r="A32" s="201"/>
      <c r="B32" s="202"/>
      <c r="C32" s="202"/>
      <c r="D32" s="203"/>
      <c r="E32" s="210">
        <v>9</v>
      </c>
      <c r="F32" s="211" t="s">
        <v>132</v>
      </c>
      <c r="G32" s="211" t="s">
        <v>133</v>
      </c>
      <c r="H32" s="463">
        <v>43340</v>
      </c>
      <c r="I32" s="212"/>
      <c r="J32" s="211" t="s">
        <v>134</v>
      </c>
      <c r="K32" s="211" t="s">
        <v>134</v>
      </c>
      <c r="L32" s="222" t="s">
        <v>1009</v>
      </c>
      <c r="M32" s="213"/>
      <c r="N32" s="213"/>
      <c r="O32" s="439"/>
      <c r="P32" s="188"/>
      <c r="Q32" s="208"/>
      <c r="R32" s="208"/>
      <c r="S32" s="208"/>
      <c r="T32" s="208"/>
      <c r="U32" s="208"/>
      <c r="V32" s="208"/>
      <c r="W32" s="208"/>
      <c r="X32" s="208"/>
      <c r="Y32" s="208"/>
      <c r="Z32" s="208"/>
    </row>
    <row r="33" spans="1:26" s="209" customFormat="1" ht="57">
      <c r="A33" s="201"/>
      <c r="B33" s="202"/>
      <c r="C33" s="202"/>
      <c r="D33" s="203"/>
      <c r="E33" s="210"/>
      <c r="F33" s="211"/>
      <c r="G33" s="211" t="s">
        <v>135</v>
      </c>
      <c r="H33" s="463">
        <v>43340</v>
      </c>
      <c r="I33" s="212"/>
      <c r="J33" s="211" t="s">
        <v>136</v>
      </c>
      <c r="K33" s="211" t="s">
        <v>136</v>
      </c>
      <c r="L33" s="222" t="s">
        <v>1009</v>
      </c>
      <c r="M33" s="213"/>
      <c r="N33" s="213"/>
      <c r="O33" s="439"/>
      <c r="P33" s="188"/>
      <c r="Q33" s="208"/>
      <c r="R33" s="208"/>
      <c r="S33" s="208"/>
      <c r="T33" s="208"/>
      <c r="U33" s="208"/>
      <c r="V33" s="208"/>
      <c r="W33" s="208"/>
      <c r="X33" s="208"/>
      <c r="Y33" s="208"/>
      <c r="Z33" s="208"/>
    </row>
    <row r="34" spans="1:26" s="209" customFormat="1" ht="48.75" customHeight="1">
      <c r="A34" s="201"/>
      <c r="B34" s="202"/>
      <c r="C34" s="202"/>
      <c r="D34" s="203"/>
      <c r="E34" s="210"/>
      <c r="F34" s="211"/>
      <c r="G34" s="211" t="s">
        <v>137</v>
      </c>
      <c r="H34" s="463">
        <v>43340</v>
      </c>
      <c r="I34" s="212"/>
      <c r="J34" s="211" t="s">
        <v>138</v>
      </c>
      <c r="K34" s="211" t="s">
        <v>138</v>
      </c>
      <c r="L34" s="222" t="s">
        <v>1009</v>
      </c>
      <c r="M34" s="213"/>
      <c r="N34" s="213"/>
      <c r="O34" s="439"/>
      <c r="P34" s="188"/>
      <c r="Q34" s="208"/>
      <c r="R34" s="208"/>
      <c r="S34" s="208"/>
      <c r="T34" s="208"/>
      <c r="U34" s="208"/>
      <c r="V34" s="208"/>
      <c r="W34" s="208"/>
      <c r="X34" s="208"/>
      <c r="Y34" s="208"/>
      <c r="Z34" s="208"/>
    </row>
    <row r="35" spans="1:26" s="209" customFormat="1" ht="34.799999999999997" thickBot="1">
      <c r="A35" s="201"/>
      <c r="B35" s="202"/>
      <c r="C35" s="202"/>
      <c r="D35" s="203"/>
      <c r="E35" s="210"/>
      <c r="F35" s="211"/>
      <c r="G35" s="211" t="s">
        <v>139</v>
      </c>
      <c r="H35" s="463">
        <v>43340</v>
      </c>
      <c r="I35" s="212"/>
      <c r="J35" s="211" t="s">
        <v>140</v>
      </c>
      <c r="K35" s="211" t="s">
        <v>140</v>
      </c>
      <c r="L35" s="222" t="s">
        <v>1009</v>
      </c>
      <c r="M35" s="213"/>
      <c r="N35" s="213"/>
      <c r="O35" s="439"/>
      <c r="P35" s="188"/>
      <c r="Q35" s="208"/>
      <c r="R35" s="208"/>
      <c r="S35" s="208"/>
      <c r="T35" s="208"/>
      <c r="U35" s="208"/>
      <c r="V35" s="208"/>
      <c r="W35" s="208"/>
      <c r="X35" s="208"/>
      <c r="Y35" s="208"/>
      <c r="Z35" s="208"/>
    </row>
    <row r="36" spans="1:26" s="209" customFormat="1" ht="27" customHeight="1" thickBot="1">
      <c r="A36" s="214" t="e">
        <f t="shared" ref="A36:B36" si="3">#REF!</f>
        <v>#REF!</v>
      </c>
      <c r="B36" s="215" t="e">
        <f t="shared" si="3"/>
        <v>#REF!</v>
      </c>
      <c r="C36" s="215">
        <f>$I$5</f>
        <v>0</v>
      </c>
      <c r="D36" s="216">
        <f>$I$7</f>
        <v>0</v>
      </c>
      <c r="E36" s="217"/>
      <c r="F36" s="218" t="s">
        <v>46</v>
      </c>
      <c r="G36" s="219"/>
      <c r="H36" s="219"/>
      <c r="I36" s="219"/>
      <c r="J36" s="220"/>
      <c r="K36" s="220"/>
      <c r="L36" s="219"/>
      <c r="M36" s="219"/>
      <c r="N36" s="219"/>
      <c r="O36" s="440"/>
      <c r="P36" s="440"/>
      <c r="Q36" s="221"/>
      <c r="R36" s="221"/>
      <c r="S36" s="221"/>
      <c r="T36" s="221"/>
      <c r="U36" s="221"/>
      <c r="V36" s="221"/>
      <c r="W36" s="221"/>
      <c r="X36" s="221"/>
      <c r="Y36" s="221"/>
      <c r="Z36" s="221"/>
    </row>
    <row r="37" spans="1:26" ht="22.5" customHeight="1"/>
  </sheetData>
  <sheetProtection formatCells="0" formatColumns="0" formatRows="0" insertRows="0" insertHyperlinks="0" deleteRows="0" sort="0" autoFilter="0" pivotTables="0"/>
  <mergeCells count="20">
    <mergeCell ref="P11:P13"/>
    <mergeCell ref="H5:I6"/>
    <mergeCell ref="L5:O5"/>
    <mergeCell ref="L6:O6"/>
    <mergeCell ref="G2:I2"/>
    <mergeCell ref="L2:O2"/>
    <mergeCell ref="G3:I4"/>
    <mergeCell ref="L3:O3"/>
    <mergeCell ref="L4:O4"/>
    <mergeCell ref="G12:G13"/>
    <mergeCell ref="H7:I8"/>
    <mergeCell ref="L7:O7"/>
    <mergeCell ref="L11:N11"/>
    <mergeCell ref="O11:O13"/>
    <mergeCell ref="E11:F11"/>
    <mergeCell ref="H11:H13"/>
    <mergeCell ref="I11:I13"/>
    <mergeCell ref="J11:J13"/>
    <mergeCell ref="K11:K13"/>
    <mergeCell ref="E12:F12"/>
  </mergeCells>
  <dataValidations count="1">
    <dataValidation type="list" allowBlank="1" showInputMessage="1" showErrorMessage="1" sqref="O14" xr:uid="{00000000-0002-0000-0700-000000000000}">
      <formula1>"Pass,Failed"</formula1>
    </dataValidation>
  </dataValidations>
  <pageMargins left="0.7" right="0.7" top="0.75" bottom="0.75" header="0.3" footer="0.3"/>
  <pageSetup paperSize="9" orientation="portrait" r:id="rId1"/>
  <headerFooter>
    <oddHeader>&amp;L&amp;G</oddHeader>
    <oddFooter>&amp;LTemplate ID: TP_TE_TestCase_V.2.0.0
Copyright&amp;RFile Name: &amp;F
Page: &amp;P/&amp;N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4369" r:id="rId5" name="Button 1">
              <controlPr defaultSize="0" print="0" autoFill="0" autoPict="0" macro="[0]!Home">
                <anchor moveWithCells="1" sizeWithCells="1">
                  <from>
                    <xdr:col>6</xdr:col>
                    <xdr:colOff>381000</xdr:colOff>
                    <xdr:row>8</xdr:row>
                    <xdr:rowOff>236220</xdr:rowOff>
                  </from>
                  <to>
                    <xdr:col>6</xdr:col>
                    <xdr:colOff>1219200</xdr:colOff>
                    <xdr:row>9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Z190"/>
  <sheetViews>
    <sheetView showGridLines="0" topLeftCell="E4" zoomScaleNormal="100" workbookViewId="0">
      <selection activeCell="E117" sqref="E117:O117"/>
    </sheetView>
  </sheetViews>
  <sheetFormatPr defaultColWidth="9.28515625" defaultRowHeight="11.4" outlineLevelRow="1"/>
  <cols>
    <col min="1" max="1" width="11.85546875" style="10" hidden="1" customWidth="1"/>
    <col min="2" max="2" width="14.85546875" style="2" hidden="1" customWidth="1"/>
    <col min="3" max="3" width="17.28515625" style="2" hidden="1" customWidth="1"/>
    <col min="4" max="4" width="18.28515625" style="2" hidden="1" customWidth="1"/>
    <col min="5" max="5" width="8.42578125" style="2" customWidth="1"/>
    <col min="6" max="6" width="25.28515625" style="2" customWidth="1"/>
    <col min="7" max="7" width="39.85546875" style="2" customWidth="1"/>
    <col min="8" max="8" width="13.28515625" style="2" customWidth="1"/>
    <col min="9" max="9" width="18.42578125" style="2" customWidth="1"/>
    <col min="10" max="10" width="44.140625" style="2" customWidth="1"/>
    <col min="11" max="11" width="41.7109375" style="2" customWidth="1"/>
    <col min="12" max="12" width="9.85546875" style="2" customWidth="1"/>
    <col min="13" max="13" width="9.42578125" style="2" customWidth="1"/>
    <col min="14" max="14" width="9.7109375" style="2" customWidth="1"/>
    <col min="15" max="15" width="14.28515625" style="2" customWidth="1"/>
    <col min="16" max="16" width="91" style="2" customWidth="1"/>
    <col min="17" max="16384" width="9.28515625" style="2"/>
  </cols>
  <sheetData>
    <row r="1" spans="1:26" ht="18.75" customHeight="1" thickBot="1">
      <c r="K1" s="1"/>
      <c r="L1" s="1"/>
      <c r="M1" s="1"/>
      <c r="N1" s="1"/>
    </row>
    <row r="2" spans="1:26" s="1" customFormat="1" ht="33" customHeight="1">
      <c r="A2" s="11"/>
      <c r="E2" s="32" t="s">
        <v>10</v>
      </c>
      <c r="F2" s="33"/>
      <c r="G2" s="491" t="s">
        <v>94</v>
      </c>
      <c r="H2" s="492"/>
      <c r="I2" s="493"/>
      <c r="J2" s="7"/>
      <c r="K2" s="82" t="s">
        <v>22</v>
      </c>
      <c r="L2" s="470" t="s">
        <v>75</v>
      </c>
      <c r="M2" s="471"/>
      <c r="N2" s="471"/>
      <c r="O2" s="472"/>
    </row>
    <row r="3" spans="1:26" s="1" customFormat="1" ht="22.5" customHeight="1">
      <c r="A3" s="11"/>
      <c r="E3" s="34" t="s">
        <v>9</v>
      </c>
      <c r="F3" s="35"/>
      <c r="G3" s="480" t="str">
        <f>VLOOKUP(G2,'Test Case'!F13:G65515,2,TRUE)</f>
        <v>ทดสอบการบันทึกรหัสเครื่องหมายการค้าหลักในกรณี Validate ข้อมูล</v>
      </c>
      <c r="H3" s="481"/>
      <c r="I3" s="482"/>
      <c r="J3" s="8"/>
      <c r="K3" s="36" t="s">
        <v>6</v>
      </c>
      <c r="L3" s="473" t="s">
        <v>77</v>
      </c>
      <c r="M3" s="474"/>
      <c r="N3" s="474"/>
      <c r="O3" s="475"/>
    </row>
    <row r="4" spans="1:26" s="1" customFormat="1" ht="23.25" customHeight="1" thickBot="1">
      <c r="A4" s="11"/>
      <c r="E4" s="34"/>
      <c r="F4" s="35"/>
      <c r="G4" s="483"/>
      <c r="H4" s="484"/>
      <c r="I4" s="485"/>
      <c r="J4" s="8"/>
      <c r="K4" s="36" t="s">
        <v>11</v>
      </c>
      <c r="L4" s="476" t="s">
        <v>69</v>
      </c>
      <c r="M4" s="477"/>
      <c r="N4" s="477"/>
      <c r="O4" s="478"/>
    </row>
    <row r="5" spans="1:26" s="1" customFormat="1" ht="22.5" customHeight="1">
      <c r="A5" s="11"/>
      <c r="E5" s="130"/>
      <c r="F5" s="131"/>
      <c r="G5" s="128"/>
      <c r="H5" s="494"/>
      <c r="I5" s="494"/>
      <c r="J5" s="5"/>
      <c r="K5" s="36" t="s">
        <v>4</v>
      </c>
      <c r="L5" s="476" t="s">
        <v>76</v>
      </c>
      <c r="M5" s="477"/>
      <c r="N5" s="477"/>
      <c r="O5" s="478"/>
    </row>
    <row r="6" spans="1:26" s="1" customFormat="1" ht="22.5" customHeight="1">
      <c r="A6" s="11"/>
      <c r="E6" s="130"/>
      <c r="F6" s="131"/>
      <c r="G6" s="129"/>
      <c r="H6" s="494"/>
      <c r="I6" s="494"/>
      <c r="J6" s="5"/>
      <c r="K6" s="36" t="s">
        <v>55</v>
      </c>
      <c r="L6" s="479">
        <v>43330</v>
      </c>
      <c r="M6" s="477"/>
      <c r="N6" s="477"/>
      <c r="O6" s="478"/>
    </row>
    <row r="7" spans="1:26" s="1" customFormat="1" ht="22.5" customHeight="1" thickBot="1">
      <c r="A7" s="11"/>
      <c r="E7" s="130"/>
      <c r="F7" s="131"/>
      <c r="G7" s="128"/>
      <c r="H7" s="506"/>
      <c r="I7" s="507"/>
      <c r="J7" s="5"/>
      <c r="K7" s="37" t="s">
        <v>54</v>
      </c>
      <c r="L7" s="510">
        <f>G11</f>
        <v>176</v>
      </c>
      <c r="M7" s="511"/>
      <c r="N7" s="511"/>
      <c r="O7" s="512"/>
    </row>
    <row r="8" spans="1:26" s="1" customFormat="1" ht="22.5" customHeight="1">
      <c r="A8" s="11"/>
      <c r="E8" s="130"/>
      <c r="F8" s="131"/>
      <c r="G8" s="129"/>
      <c r="H8" s="507"/>
      <c r="I8" s="507"/>
      <c r="J8" s="5"/>
      <c r="K8"/>
      <c r="N8" s="9"/>
    </row>
    <row r="9" spans="1:26" s="1" customFormat="1" ht="22.5" customHeight="1">
      <c r="A9" s="11"/>
      <c r="H9" s="2"/>
      <c r="I9" s="2"/>
      <c r="J9" s="5"/>
      <c r="K9"/>
      <c r="M9" s="2"/>
      <c r="N9" s="9"/>
    </row>
    <row r="10" spans="1:26" s="1" customFormat="1" ht="29.25" customHeight="1" thickBot="1">
      <c r="A10" s="11"/>
      <c r="J10" s="5"/>
      <c r="K10" s="2"/>
      <c r="L10" s="2"/>
      <c r="M10" s="4"/>
      <c r="N10" s="4"/>
      <c r="O10" s="4"/>
    </row>
    <row r="11" spans="1:26" s="1" customFormat="1" ht="29.25" customHeight="1">
      <c r="A11" s="89"/>
      <c r="B11" s="90"/>
      <c r="C11" s="90"/>
      <c r="D11" s="90"/>
      <c r="E11" s="508" t="s">
        <v>45</v>
      </c>
      <c r="F11" s="509"/>
      <c r="G11" s="93">
        <f>COUNTA(G14:G501)</f>
        <v>176</v>
      </c>
      <c r="H11" s="488" t="s">
        <v>51</v>
      </c>
      <c r="I11" s="488" t="s">
        <v>5</v>
      </c>
      <c r="J11" s="488" t="s">
        <v>3</v>
      </c>
      <c r="K11" s="498" t="s">
        <v>13</v>
      </c>
      <c r="L11" s="501" t="s">
        <v>48</v>
      </c>
      <c r="M11" s="502"/>
      <c r="N11" s="503"/>
      <c r="O11" s="495" t="s">
        <v>52</v>
      </c>
      <c r="P11" s="495" t="s">
        <v>1155</v>
      </c>
    </row>
    <row r="12" spans="1:26" s="1" customFormat="1" ht="16.5" customHeight="1" thickBot="1">
      <c r="A12" s="91"/>
      <c r="B12" s="92" t="s">
        <v>77</v>
      </c>
      <c r="C12" s="92"/>
      <c r="D12" s="92"/>
      <c r="E12" s="504">
        <f>COUNTA(E14:E501)</f>
        <v>12</v>
      </c>
      <c r="F12" s="505"/>
      <c r="G12" s="486" t="s">
        <v>44</v>
      </c>
      <c r="H12" s="489"/>
      <c r="I12" s="489"/>
      <c r="J12" s="489"/>
      <c r="K12" s="499"/>
      <c r="L12" s="94">
        <f>COUNTA(L14:L501)</f>
        <v>140</v>
      </c>
      <c r="M12" s="95">
        <f>COUNTA(M14:M501)</f>
        <v>21</v>
      </c>
      <c r="N12" s="96">
        <f>COUNTA(N14:N501)</f>
        <v>15</v>
      </c>
      <c r="O12" s="496"/>
      <c r="P12" s="496"/>
    </row>
    <row r="13" spans="1:26" s="1" customFormat="1" ht="22.5" customHeight="1" thickBot="1">
      <c r="A13" s="23" t="s">
        <v>7</v>
      </c>
      <c r="B13" s="24" t="s">
        <v>18</v>
      </c>
      <c r="C13" s="25" t="s">
        <v>19</v>
      </c>
      <c r="D13" s="25" t="s">
        <v>17</v>
      </c>
      <c r="E13" s="97" t="s">
        <v>43</v>
      </c>
      <c r="F13" s="132" t="s">
        <v>12</v>
      </c>
      <c r="G13" s="487"/>
      <c r="H13" s="490"/>
      <c r="I13" s="490"/>
      <c r="J13" s="490"/>
      <c r="K13" s="500"/>
      <c r="L13" s="99" t="s">
        <v>42</v>
      </c>
      <c r="M13" s="100" t="s">
        <v>47</v>
      </c>
      <c r="N13" s="101" t="s">
        <v>53</v>
      </c>
      <c r="O13" s="497"/>
      <c r="P13" s="496"/>
    </row>
    <row r="14" spans="1:26" s="209" customFormat="1" ht="409.6">
      <c r="A14" s="201"/>
      <c r="B14" s="202"/>
      <c r="C14" s="202"/>
      <c r="D14" s="203"/>
      <c r="E14" s="223">
        <v>1</v>
      </c>
      <c r="F14" s="205" t="s">
        <v>102</v>
      </c>
      <c r="G14" s="205" t="s">
        <v>1178</v>
      </c>
      <c r="H14" s="301">
        <v>43340</v>
      </c>
      <c r="I14" s="302" t="s">
        <v>1008</v>
      </c>
      <c r="J14" s="205" t="s">
        <v>1179</v>
      </c>
      <c r="K14" s="205" t="s">
        <v>1179</v>
      </c>
      <c r="L14" s="303" t="s">
        <v>1009</v>
      </c>
      <c r="M14" s="303"/>
      <c r="N14" s="303"/>
      <c r="O14" s="442"/>
      <c r="P14" s="441"/>
      <c r="Q14" s="221"/>
      <c r="R14" s="221"/>
      <c r="S14" s="221"/>
      <c r="T14" s="221"/>
      <c r="U14" s="221"/>
      <c r="V14" s="221"/>
      <c r="W14" s="221"/>
      <c r="X14" s="221"/>
      <c r="Y14" s="221"/>
      <c r="Z14" s="221"/>
    </row>
    <row r="15" spans="1:26" s="209" customFormat="1" ht="45.6">
      <c r="A15" s="201" t="e">
        <f t="shared" ref="A15:B15" si="0">#REF!</f>
        <v>#REF!</v>
      </c>
      <c r="B15" s="202" t="e">
        <f t="shared" si="0"/>
        <v>#REF!</v>
      </c>
      <c r="C15" s="202">
        <f>$I$5</f>
        <v>0</v>
      </c>
      <c r="D15" s="203">
        <f>$I$7</f>
        <v>0</v>
      </c>
      <c r="E15" s="232">
        <v>2</v>
      </c>
      <c r="F15" s="304" t="s">
        <v>278</v>
      </c>
      <c r="G15" s="305" t="s">
        <v>642</v>
      </c>
      <c r="H15" s="306">
        <v>43340</v>
      </c>
      <c r="I15" s="235"/>
      <c r="J15" s="235" t="s">
        <v>643</v>
      </c>
      <c r="K15" s="235" t="s">
        <v>643</v>
      </c>
      <c r="L15" s="307" t="s">
        <v>1009</v>
      </c>
      <c r="M15" s="307"/>
      <c r="N15" s="307"/>
      <c r="O15" s="443"/>
      <c r="P15" s="441"/>
      <c r="Q15" s="221"/>
      <c r="R15" s="221"/>
      <c r="S15" s="221"/>
      <c r="T15" s="221"/>
      <c r="U15" s="221"/>
      <c r="V15" s="221"/>
      <c r="W15" s="221"/>
      <c r="X15" s="221"/>
      <c r="Y15" s="221"/>
      <c r="Z15" s="221"/>
    </row>
    <row r="16" spans="1:26" s="209" customFormat="1">
      <c r="A16" s="201"/>
      <c r="B16" s="202"/>
      <c r="C16" s="202"/>
      <c r="D16" s="203"/>
      <c r="E16" s="225"/>
      <c r="F16" s="228"/>
      <c r="G16" s="224" t="s">
        <v>644</v>
      </c>
      <c r="H16" s="301">
        <v>43340</v>
      </c>
      <c r="I16" s="226"/>
      <c r="J16" s="227" t="s">
        <v>282</v>
      </c>
      <c r="K16" s="227"/>
      <c r="L16" s="303" t="s">
        <v>1009</v>
      </c>
      <c r="M16" s="303"/>
      <c r="N16" s="303"/>
      <c r="O16" s="444"/>
      <c r="P16" s="441"/>
      <c r="Q16" s="221"/>
      <c r="R16" s="221"/>
      <c r="S16" s="221"/>
      <c r="T16" s="221"/>
      <c r="U16" s="221"/>
      <c r="V16" s="221"/>
      <c r="W16" s="221"/>
      <c r="X16" s="221"/>
      <c r="Y16" s="221"/>
      <c r="Z16" s="221"/>
    </row>
    <row r="17" spans="1:26" s="237" customFormat="1" ht="34.200000000000003">
      <c r="A17" s="229" t="e">
        <f t="shared" ref="A17:B27" si="1">#REF!</f>
        <v>#REF!</v>
      </c>
      <c r="B17" s="230" t="e">
        <f t="shared" si="1"/>
        <v>#REF!</v>
      </c>
      <c r="C17" s="230">
        <f t="shared" ref="C17:C28" si="2">$I$5</f>
        <v>0</v>
      </c>
      <c r="D17" s="231">
        <f t="shared" ref="D17:D28" si="3">$I$7</f>
        <v>0</v>
      </c>
      <c r="E17" s="232">
        <v>3</v>
      </c>
      <c r="F17" s="304" t="s">
        <v>297</v>
      </c>
      <c r="G17" s="305" t="s">
        <v>645</v>
      </c>
      <c r="H17" s="306">
        <v>43340</v>
      </c>
      <c r="I17" s="235"/>
      <c r="J17" s="235" t="s">
        <v>646</v>
      </c>
      <c r="K17" s="235" t="s">
        <v>1010</v>
      </c>
      <c r="L17" s="307"/>
      <c r="M17" s="307" t="s">
        <v>1009</v>
      </c>
      <c r="N17" s="307"/>
      <c r="O17" s="443"/>
      <c r="P17" s="457"/>
      <c r="Q17" s="236"/>
      <c r="R17" s="236"/>
      <c r="S17" s="236"/>
      <c r="T17" s="236"/>
      <c r="U17" s="236"/>
      <c r="V17" s="236"/>
      <c r="W17" s="236"/>
      <c r="X17" s="236"/>
      <c r="Y17" s="236"/>
      <c r="Z17" s="236"/>
    </row>
    <row r="18" spans="1:26" s="209" customFormat="1" ht="45.6">
      <c r="A18" s="201" t="e">
        <f t="shared" si="1"/>
        <v>#REF!</v>
      </c>
      <c r="B18" s="202" t="e">
        <f t="shared" si="1"/>
        <v>#REF!</v>
      </c>
      <c r="C18" s="202">
        <f t="shared" si="2"/>
        <v>0</v>
      </c>
      <c r="D18" s="203">
        <f t="shared" si="3"/>
        <v>0</v>
      </c>
      <c r="E18" s="225"/>
      <c r="F18" s="228"/>
      <c r="G18" s="224" t="s">
        <v>647</v>
      </c>
      <c r="H18" s="301">
        <v>43340</v>
      </c>
      <c r="I18" s="226"/>
      <c r="J18" s="226" t="s">
        <v>648</v>
      </c>
      <c r="K18" s="226" t="s">
        <v>648</v>
      </c>
      <c r="L18" s="303" t="s">
        <v>1009</v>
      </c>
      <c r="M18" s="303"/>
      <c r="N18" s="303"/>
      <c r="O18" s="444"/>
      <c r="P18" s="441"/>
      <c r="Q18" s="221"/>
      <c r="R18" s="221"/>
      <c r="S18" s="221"/>
      <c r="T18" s="221"/>
      <c r="U18" s="221"/>
      <c r="V18" s="221"/>
      <c r="W18" s="221"/>
      <c r="X18" s="221"/>
      <c r="Y18" s="221"/>
      <c r="Z18" s="221"/>
    </row>
    <row r="19" spans="1:26" s="209" customFormat="1" ht="45.6">
      <c r="A19" s="201" t="e">
        <f t="shared" si="1"/>
        <v>#REF!</v>
      </c>
      <c r="B19" s="202" t="e">
        <f t="shared" si="1"/>
        <v>#REF!</v>
      </c>
      <c r="C19" s="202">
        <f t="shared" si="2"/>
        <v>0</v>
      </c>
      <c r="D19" s="203">
        <f t="shared" si="3"/>
        <v>0</v>
      </c>
      <c r="E19" s="225"/>
      <c r="F19" s="228"/>
      <c r="G19" s="224" t="s">
        <v>649</v>
      </c>
      <c r="H19" s="306">
        <v>43340</v>
      </c>
      <c r="I19" s="226"/>
      <c r="J19" s="226" t="s">
        <v>650</v>
      </c>
      <c r="K19" s="226" t="s">
        <v>650</v>
      </c>
      <c r="L19" s="303" t="s">
        <v>1009</v>
      </c>
      <c r="M19" s="303"/>
      <c r="N19" s="303"/>
      <c r="O19" s="444"/>
      <c r="P19" s="441"/>
      <c r="Q19" s="221"/>
      <c r="R19" s="221"/>
      <c r="S19" s="221"/>
      <c r="T19" s="221"/>
      <c r="U19" s="221"/>
      <c r="V19" s="221"/>
      <c r="W19" s="221"/>
      <c r="X19" s="221"/>
      <c r="Y19" s="221"/>
      <c r="Z19" s="221"/>
    </row>
    <row r="20" spans="1:26" s="209" customFormat="1" ht="45.6">
      <c r="A20" s="201" t="e">
        <f t="shared" si="1"/>
        <v>#REF!</v>
      </c>
      <c r="B20" s="202" t="e">
        <f t="shared" si="1"/>
        <v>#REF!</v>
      </c>
      <c r="C20" s="202">
        <f t="shared" si="2"/>
        <v>0</v>
      </c>
      <c r="D20" s="203">
        <f t="shared" si="3"/>
        <v>0</v>
      </c>
      <c r="E20" s="225"/>
      <c r="F20" s="228"/>
      <c r="G20" s="224" t="s">
        <v>651</v>
      </c>
      <c r="H20" s="301">
        <v>43340</v>
      </c>
      <c r="I20" s="226"/>
      <c r="J20" s="226" t="s">
        <v>652</v>
      </c>
      <c r="K20" s="226" t="s">
        <v>652</v>
      </c>
      <c r="L20" s="303" t="s">
        <v>1009</v>
      </c>
      <c r="M20" s="303"/>
      <c r="N20" s="303"/>
      <c r="O20" s="444"/>
      <c r="P20" s="441"/>
      <c r="Q20" s="221"/>
      <c r="R20" s="221"/>
      <c r="S20" s="221"/>
      <c r="T20" s="221"/>
      <c r="U20" s="221"/>
      <c r="V20" s="221"/>
      <c r="W20" s="221"/>
      <c r="X20" s="221"/>
      <c r="Y20" s="221"/>
      <c r="Z20" s="221"/>
    </row>
    <row r="21" spans="1:26" s="209" customFormat="1" ht="45.6">
      <c r="A21" s="201" t="e">
        <f t="shared" si="1"/>
        <v>#REF!</v>
      </c>
      <c r="B21" s="202" t="e">
        <f t="shared" si="1"/>
        <v>#REF!</v>
      </c>
      <c r="C21" s="202">
        <f t="shared" si="2"/>
        <v>0</v>
      </c>
      <c r="D21" s="203">
        <f t="shared" si="3"/>
        <v>0</v>
      </c>
      <c r="E21" s="225"/>
      <c r="F21" s="228"/>
      <c r="G21" s="224" t="s">
        <v>653</v>
      </c>
      <c r="H21" s="306">
        <v>43340</v>
      </c>
      <c r="I21" s="226"/>
      <c r="J21" s="226" t="s">
        <v>654</v>
      </c>
      <c r="K21" s="226" t="s">
        <v>654</v>
      </c>
      <c r="L21" s="303" t="s">
        <v>1009</v>
      </c>
      <c r="M21" s="303"/>
      <c r="N21" s="303"/>
      <c r="O21" s="444"/>
      <c r="P21" s="441"/>
      <c r="Q21" s="221"/>
      <c r="R21" s="221"/>
      <c r="S21" s="221"/>
      <c r="T21" s="221"/>
      <c r="U21" s="221"/>
      <c r="V21" s="221"/>
      <c r="W21" s="221"/>
      <c r="X21" s="221"/>
      <c r="Y21" s="221"/>
      <c r="Z21" s="221"/>
    </row>
    <row r="22" spans="1:26" s="209" customFormat="1" ht="57">
      <c r="A22" s="201" t="e">
        <f t="shared" si="1"/>
        <v>#REF!</v>
      </c>
      <c r="B22" s="202" t="e">
        <f t="shared" si="1"/>
        <v>#REF!</v>
      </c>
      <c r="C22" s="202">
        <f t="shared" si="2"/>
        <v>0</v>
      </c>
      <c r="D22" s="203">
        <f t="shared" si="3"/>
        <v>0</v>
      </c>
      <c r="E22" s="225"/>
      <c r="F22" s="228"/>
      <c r="G22" s="224" t="s">
        <v>655</v>
      </c>
      <c r="H22" s="301">
        <v>43340</v>
      </c>
      <c r="I22" s="226"/>
      <c r="J22" s="226" t="s">
        <v>656</v>
      </c>
      <c r="K22" s="226" t="s">
        <v>656</v>
      </c>
      <c r="L22" s="303" t="s">
        <v>1009</v>
      </c>
      <c r="M22" s="303"/>
      <c r="N22" s="303"/>
      <c r="O22" s="444"/>
      <c r="P22" s="441"/>
      <c r="Q22" s="221"/>
      <c r="R22" s="221"/>
      <c r="S22" s="221"/>
      <c r="T22" s="221"/>
      <c r="U22" s="221"/>
      <c r="V22" s="221"/>
      <c r="W22" s="221"/>
      <c r="X22" s="221"/>
      <c r="Y22" s="221"/>
      <c r="Z22" s="221"/>
    </row>
    <row r="23" spans="1:26" s="209" customFormat="1" ht="45.6">
      <c r="A23" s="201" t="e">
        <f t="shared" si="1"/>
        <v>#REF!</v>
      </c>
      <c r="B23" s="202" t="e">
        <f t="shared" si="1"/>
        <v>#REF!</v>
      </c>
      <c r="C23" s="202">
        <f t="shared" si="2"/>
        <v>0</v>
      </c>
      <c r="D23" s="203">
        <f t="shared" si="3"/>
        <v>0</v>
      </c>
      <c r="E23" s="225"/>
      <c r="F23" s="228"/>
      <c r="G23" s="224" t="s">
        <v>657</v>
      </c>
      <c r="H23" s="306">
        <v>43340</v>
      </c>
      <c r="I23" s="226"/>
      <c r="J23" s="226" t="s">
        <v>658</v>
      </c>
      <c r="K23" s="226" t="s">
        <v>658</v>
      </c>
      <c r="L23" s="303" t="s">
        <v>1009</v>
      </c>
      <c r="M23" s="303"/>
      <c r="N23" s="303"/>
      <c r="O23" s="444"/>
      <c r="P23" s="441"/>
      <c r="Q23" s="221"/>
      <c r="R23" s="221"/>
      <c r="S23" s="221"/>
      <c r="T23" s="221"/>
      <c r="U23" s="221"/>
      <c r="V23" s="221"/>
      <c r="W23" s="221"/>
      <c r="X23" s="221"/>
      <c r="Y23" s="221"/>
      <c r="Z23" s="221"/>
    </row>
    <row r="24" spans="1:26" s="209" customFormat="1" ht="45.6">
      <c r="A24" s="201" t="e">
        <f t="shared" si="1"/>
        <v>#REF!</v>
      </c>
      <c r="B24" s="202" t="e">
        <f t="shared" si="1"/>
        <v>#REF!</v>
      </c>
      <c r="C24" s="202">
        <f t="shared" si="2"/>
        <v>0</v>
      </c>
      <c r="D24" s="203">
        <f t="shared" si="3"/>
        <v>0</v>
      </c>
      <c r="E24" s="225"/>
      <c r="F24" s="228"/>
      <c r="G24" s="224" t="s">
        <v>659</v>
      </c>
      <c r="H24" s="306">
        <v>43340</v>
      </c>
      <c r="I24" s="226"/>
      <c r="J24" s="226" t="s">
        <v>314</v>
      </c>
      <c r="K24" s="226" t="s">
        <v>314</v>
      </c>
      <c r="L24" s="303" t="s">
        <v>1009</v>
      </c>
      <c r="M24" s="303"/>
      <c r="N24" s="303"/>
      <c r="O24" s="444"/>
      <c r="P24" s="441"/>
      <c r="Q24" s="221"/>
      <c r="R24" s="221"/>
      <c r="S24" s="221"/>
      <c r="T24" s="221"/>
      <c r="U24" s="221"/>
      <c r="V24" s="221"/>
      <c r="W24" s="221"/>
      <c r="X24" s="221"/>
      <c r="Y24" s="221"/>
      <c r="Z24" s="221"/>
    </row>
    <row r="25" spans="1:26" s="209" customFormat="1" ht="57">
      <c r="A25" s="201" t="e">
        <f t="shared" si="1"/>
        <v>#REF!</v>
      </c>
      <c r="B25" s="202" t="e">
        <f t="shared" si="1"/>
        <v>#REF!</v>
      </c>
      <c r="C25" s="202">
        <f t="shared" si="2"/>
        <v>0</v>
      </c>
      <c r="D25" s="203">
        <f t="shared" si="3"/>
        <v>0</v>
      </c>
      <c r="E25" s="225"/>
      <c r="F25" s="228"/>
      <c r="G25" s="224" t="s">
        <v>660</v>
      </c>
      <c r="H25" s="301">
        <v>43340</v>
      </c>
      <c r="I25" s="226"/>
      <c r="J25" s="226" t="s">
        <v>661</v>
      </c>
      <c r="K25" s="226" t="s">
        <v>661</v>
      </c>
      <c r="L25" s="303" t="s">
        <v>1009</v>
      </c>
      <c r="M25" s="303"/>
      <c r="N25" s="303"/>
      <c r="O25" s="444"/>
      <c r="P25" s="441"/>
      <c r="Q25" s="221"/>
      <c r="R25" s="221"/>
      <c r="S25" s="221"/>
      <c r="T25" s="221"/>
      <c r="U25" s="221"/>
      <c r="V25" s="221"/>
      <c r="W25" s="221"/>
      <c r="X25" s="221"/>
      <c r="Y25" s="221"/>
      <c r="Z25" s="221"/>
    </row>
    <row r="26" spans="1:26" s="237" customFormat="1" ht="45.6">
      <c r="A26" s="229" t="e">
        <f t="shared" si="1"/>
        <v>#REF!</v>
      </c>
      <c r="B26" s="230" t="e">
        <f t="shared" si="1"/>
        <v>#REF!</v>
      </c>
      <c r="C26" s="230">
        <f t="shared" si="2"/>
        <v>0</v>
      </c>
      <c r="D26" s="231">
        <f t="shared" si="3"/>
        <v>0</v>
      </c>
      <c r="E26" s="232">
        <v>4</v>
      </c>
      <c r="F26" s="304" t="s">
        <v>319</v>
      </c>
      <c r="G26" s="305" t="s">
        <v>1188</v>
      </c>
      <c r="H26" s="306">
        <v>43340</v>
      </c>
      <c r="I26" s="235"/>
      <c r="J26" s="235" t="s">
        <v>1019</v>
      </c>
      <c r="K26" s="235" t="s">
        <v>643</v>
      </c>
      <c r="L26" s="307" t="s">
        <v>1009</v>
      </c>
      <c r="M26" s="307"/>
      <c r="N26" s="307"/>
      <c r="O26" s="443"/>
      <c r="P26" s="457"/>
      <c r="Q26" s="236"/>
      <c r="R26" s="236"/>
      <c r="S26" s="236"/>
      <c r="T26" s="236"/>
      <c r="U26" s="236"/>
      <c r="V26" s="236"/>
      <c r="W26" s="236"/>
      <c r="X26" s="236"/>
      <c r="Y26" s="236"/>
      <c r="Z26" s="236"/>
    </row>
    <row r="27" spans="1:26" s="209" customFormat="1">
      <c r="A27" s="201" t="e">
        <f t="shared" si="1"/>
        <v>#REF!</v>
      </c>
      <c r="B27" s="202" t="e">
        <f t="shared" si="1"/>
        <v>#REF!</v>
      </c>
      <c r="C27" s="202">
        <f t="shared" si="2"/>
        <v>0</v>
      </c>
      <c r="D27" s="203">
        <f t="shared" si="3"/>
        <v>0</v>
      </c>
      <c r="E27" s="225"/>
      <c r="F27" s="228"/>
      <c r="G27" s="224" t="s">
        <v>286</v>
      </c>
      <c r="H27" s="301">
        <v>43340</v>
      </c>
      <c r="I27" s="226"/>
      <c r="J27" s="226" t="s">
        <v>282</v>
      </c>
      <c r="K27" s="227"/>
      <c r="L27" s="303" t="s">
        <v>1009</v>
      </c>
      <c r="M27" s="303"/>
      <c r="N27" s="303"/>
      <c r="O27" s="444"/>
      <c r="P27" s="441"/>
      <c r="Q27" s="221"/>
      <c r="R27" s="221"/>
      <c r="S27" s="221"/>
      <c r="T27" s="221"/>
      <c r="U27" s="221"/>
      <c r="V27" s="221"/>
      <c r="W27" s="221"/>
      <c r="X27" s="221"/>
      <c r="Y27" s="221"/>
      <c r="Z27" s="221"/>
    </row>
    <row r="28" spans="1:26" s="209" customFormat="1" ht="45.6">
      <c r="A28" s="201" t="e">
        <f t="shared" ref="A28:B29" si="4">#REF!</f>
        <v>#REF!</v>
      </c>
      <c r="B28" s="202" t="e">
        <f t="shared" si="4"/>
        <v>#REF!</v>
      </c>
      <c r="C28" s="202">
        <f t="shared" si="2"/>
        <v>0</v>
      </c>
      <c r="D28" s="203">
        <f t="shared" si="3"/>
        <v>0</v>
      </c>
      <c r="E28" s="225"/>
      <c r="F28" s="228"/>
      <c r="G28" s="224" t="s">
        <v>665</v>
      </c>
      <c r="H28" s="306">
        <v>43340</v>
      </c>
      <c r="I28" s="226"/>
      <c r="J28" s="226" t="s">
        <v>1189</v>
      </c>
      <c r="K28" s="226" t="s">
        <v>1189</v>
      </c>
      <c r="L28" s="303" t="s">
        <v>1009</v>
      </c>
      <c r="M28" s="303"/>
      <c r="N28" s="303"/>
      <c r="O28" s="444"/>
      <c r="P28" s="441"/>
      <c r="Q28" s="221"/>
      <c r="R28" s="221"/>
      <c r="S28" s="221"/>
      <c r="T28" s="221"/>
      <c r="U28" s="221"/>
      <c r="V28" s="221"/>
      <c r="W28" s="221"/>
      <c r="X28" s="221"/>
      <c r="Y28" s="221"/>
      <c r="Z28" s="221"/>
    </row>
    <row r="29" spans="1:26" s="237" customFormat="1" ht="45.6">
      <c r="A29" s="229" t="e">
        <f t="shared" si="4"/>
        <v>#REF!</v>
      </c>
      <c r="B29" s="230" t="e">
        <f t="shared" si="4"/>
        <v>#REF!</v>
      </c>
      <c r="C29" s="230">
        <f>$I$5</f>
        <v>0</v>
      </c>
      <c r="D29" s="231">
        <f>$I$7</f>
        <v>0</v>
      </c>
      <c r="E29" s="232">
        <v>5</v>
      </c>
      <c r="F29" s="328" t="s">
        <v>326</v>
      </c>
      <c r="G29" s="305" t="s">
        <v>1190</v>
      </c>
      <c r="H29" s="301">
        <v>43340</v>
      </c>
      <c r="I29" s="235"/>
      <c r="J29" s="235" t="s">
        <v>105</v>
      </c>
      <c r="K29" s="235" t="s">
        <v>105</v>
      </c>
      <c r="L29" s="307" t="s">
        <v>1009</v>
      </c>
      <c r="M29" s="307"/>
      <c r="N29" s="307"/>
      <c r="O29" s="443"/>
      <c r="P29" s="457"/>
      <c r="Q29" s="236"/>
      <c r="R29" s="236"/>
      <c r="S29" s="236"/>
      <c r="T29" s="236"/>
      <c r="U29" s="236"/>
      <c r="V29" s="236"/>
      <c r="W29" s="236"/>
      <c r="X29" s="236"/>
      <c r="Y29" s="236"/>
      <c r="Z29" s="236"/>
    </row>
    <row r="30" spans="1:26" s="237" customFormat="1" ht="57">
      <c r="A30" s="229"/>
      <c r="B30" s="230"/>
      <c r="C30" s="230"/>
      <c r="D30" s="231"/>
      <c r="E30" s="232"/>
      <c r="F30" s="385"/>
      <c r="G30" s="234" t="s">
        <v>668</v>
      </c>
      <c r="H30" s="306">
        <v>43340</v>
      </c>
      <c r="I30" s="235"/>
      <c r="J30" s="234" t="s">
        <v>1191</v>
      </c>
      <c r="K30" s="234" t="s">
        <v>1191</v>
      </c>
      <c r="L30" s="307" t="s">
        <v>1009</v>
      </c>
      <c r="M30" s="307"/>
      <c r="N30" s="307"/>
      <c r="O30" s="443"/>
      <c r="P30" s="457"/>
      <c r="Q30" s="236"/>
      <c r="R30" s="236"/>
      <c r="S30" s="236"/>
      <c r="T30" s="236"/>
      <c r="U30" s="236"/>
      <c r="V30" s="236"/>
      <c r="W30" s="236"/>
      <c r="X30" s="236"/>
      <c r="Y30" s="236"/>
      <c r="Z30" s="236"/>
    </row>
    <row r="31" spans="1:26" s="209" customFormat="1">
      <c r="A31" s="201"/>
      <c r="B31" s="202"/>
      <c r="C31" s="202"/>
      <c r="D31" s="203"/>
      <c r="E31" s="225"/>
      <c r="F31" s="239"/>
      <c r="G31" s="227" t="s">
        <v>286</v>
      </c>
      <c r="H31" s="301">
        <v>43340</v>
      </c>
      <c r="I31" s="226"/>
      <c r="J31" s="227" t="s">
        <v>282</v>
      </c>
      <c r="K31" s="227"/>
      <c r="L31" s="303"/>
      <c r="M31" s="303"/>
      <c r="N31" s="303" t="s">
        <v>1009</v>
      </c>
      <c r="O31" s="444"/>
      <c r="P31" s="441"/>
      <c r="Q31" s="221"/>
      <c r="R31" s="221"/>
      <c r="S31" s="221"/>
      <c r="T31" s="221"/>
      <c r="U31" s="221"/>
      <c r="V31" s="221"/>
      <c r="W31" s="221"/>
      <c r="X31" s="221"/>
      <c r="Y31" s="221"/>
      <c r="Z31" s="221"/>
    </row>
    <row r="32" spans="1:26" s="237" customFormat="1" ht="79.8">
      <c r="A32" s="229"/>
      <c r="B32" s="230"/>
      <c r="C32" s="230"/>
      <c r="D32" s="231"/>
      <c r="E32" s="232"/>
      <c r="F32" s="385"/>
      <c r="G32" s="234" t="s">
        <v>669</v>
      </c>
      <c r="H32" s="306">
        <v>43340</v>
      </c>
      <c r="I32" s="235"/>
      <c r="J32" s="234" t="s">
        <v>1020</v>
      </c>
      <c r="K32" s="234" t="s">
        <v>1011</v>
      </c>
      <c r="L32" s="307"/>
      <c r="M32" s="307" t="s">
        <v>1009</v>
      </c>
      <c r="N32" s="307"/>
      <c r="O32" s="443"/>
      <c r="P32" s="457"/>
      <c r="Q32" s="236"/>
      <c r="R32" s="236"/>
      <c r="S32" s="236"/>
      <c r="T32" s="236"/>
      <c r="U32" s="236"/>
      <c r="V32" s="236"/>
      <c r="W32" s="236"/>
      <c r="X32" s="236"/>
      <c r="Y32" s="236"/>
      <c r="Z32" s="236"/>
    </row>
    <row r="33" spans="1:26" s="209" customFormat="1">
      <c r="A33" s="201" t="e">
        <f t="shared" ref="A33:B35" si="5">#REF!</f>
        <v>#REF!</v>
      </c>
      <c r="B33" s="202" t="e">
        <f t="shared" si="5"/>
        <v>#REF!</v>
      </c>
      <c r="C33" s="202">
        <f t="shared" ref="C33:C35" si="6">$I$5</f>
        <v>0</v>
      </c>
      <c r="D33" s="203">
        <f t="shared" ref="D33:D35" si="7">$I$7</f>
        <v>0</v>
      </c>
      <c r="E33" s="225"/>
      <c r="F33" s="228"/>
      <c r="G33" s="227" t="s">
        <v>286</v>
      </c>
      <c r="H33" s="306">
        <v>43340</v>
      </c>
      <c r="I33" s="226"/>
      <c r="J33" s="227" t="s">
        <v>282</v>
      </c>
      <c r="K33" s="227"/>
      <c r="L33" s="303"/>
      <c r="M33" s="303"/>
      <c r="N33" s="303" t="s">
        <v>1009</v>
      </c>
      <c r="O33" s="444"/>
      <c r="P33" s="441"/>
      <c r="Q33" s="221"/>
      <c r="R33" s="221"/>
      <c r="S33" s="221"/>
      <c r="T33" s="221"/>
      <c r="U33" s="221"/>
      <c r="V33" s="221"/>
      <c r="W33" s="221"/>
      <c r="X33" s="221"/>
      <c r="Y33" s="221"/>
      <c r="Z33" s="221"/>
    </row>
    <row r="34" spans="1:26" s="237" customFormat="1" ht="102.6">
      <c r="A34" s="229" t="e">
        <f t="shared" si="5"/>
        <v>#REF!</v>
      </c>
      <c r="B34" s="230" t="e">
        <f t="shared" si="5"/>
        <v>#REF!</v>
      </c>
      <c r="C34" s="230">
        <f t="shared" si="6"/>
        <v>0</v>
      </c>
      <c r="D34" s="231">
        <f t="shared" si="7"/>
        <v>0</v>
      </c>
      <c r="E34" s="232"/>
      <c r="F34" s="233"/>
      <c r="G34" s="234" t="s">
        <v>670</v>
      </c>
      <c r="H34" s="306">
        <v>43340</v>
      </c>
      <c r="I34" s="235"/>
      <c r="J34" s="234" t="s">
        <v>333</v>
      </c>
      <c r="K34" s="234" t="s">
        <v>1011</v>
      </c>
      <c r="L34" s="307"/>
      <c r="M34" s="307" t="s">
        <v>1009</v>
      </c>
      <c r="N34" s="307"/>
      <c r="O34" s="443"/>
      <c r="P34" s="457"/>
      <c r="Q34" s="236"/>
      <c r="R34" s="236"/>
      <c r="S34" s="236"/>
      <c r="T34" s="236"/>
      <c r="U34" s="236"/>
      <c r="V34" s="236"/>
      <c r="W34" s="236"/>
      <c r="X34" s="236"/>
      <c r="Y34" s="236"/>
      <c r="Z34" s="236"/>
    </row>
    <row r="35" spans="1:26" s="209" customFormat="1">
      <c r="A35" s="201" t="e">
        <f t="shared" si="5"/>
        <v>#REF!</v>
      </c>
      <c r="B35" s="202" t="e">
        <f t="shared" si="5"/>
        <v>#REF!</v>
      </c>
      <c r="C35" s="202">
        <f t="shared" si="6"/>
        <v>0</v>
      </c>
      <c r="D35" s="203">
        <f t="shared" si="7"/>
        <v>0</v>
      </c>
      <c r="E35" s="225"/>
      <c r="F35" s="228"/>
      <c r="G35" s="227" t="s">
        <v>286</v>
      </c>
      <c r="H35" s="301">
        <v>43340</v>
      </c>
      <c r="I35" s="226"/>
      <c r="J35" s="227" t="s">
        <v>671</v>
      </c>
      <c r="K35" s="227"/>
      <c r="L35" s="303"/>
      <c r="M35" s="303"/>
      <c r="N35" s="303" t="s">
        <v>1009</v>
      </c>
      <c r="O35" s="444"/>
      <c r="P35" s="441"/>
      <c r="Q35" s="221"/>
      <c r="R35" s="221"/>
      <c r="S35" s="221"/>
      <c r="T35" s="221"/>
      <c r="U35" s="221"/>
      <c r="V35" s="221"/>
      <c r="W35" s="221"/>
      <c r="X35" s="221"/>
      <c r="Y35" s="221"/>
      <c r="Z35" s="221"/>
    </row>
    <row r="36" spans="1:26" s="237" customFormat="1" ht="102.6">
      <c r="A36" s="229"/>
      <c r="B36" s="230"/>
      <c r="C36" s="230"/>
      <c r="D36" s="231"/>
      <c r="E36" s="232"/>
      <c r="F36" s="233"/>
      <c r="G36" s="234" t="s">
        <v>672</v>
      </c>
      <c r="H36" s="306">
        <v>43340</v>
      </c>
      <c r="I36" s="235"/>
      <c r="J36" s="234" t="s">
        <v>1020</v>
      </c>
      <c r="K36" s="234" t="s">
        <v>1011</v>
      </c>
      <c r="L36" s="307"/>
      <c r="M36" s="307" t="s">
        <v>1009</v>
      </c>
      <c r="N36" s="307"/>
      <c r="O36" s="443"/>
      <c r="P36" s="457"/>
      <c r="Q36" s="236"/>
      <c r="R36" s="236"/>
      <c r="S36" s="236"/>
      <c r="T36" s="236"/>
      <c r="U36" s="236"/>
      <c r="V36" s="236"/>
      <c r="W36" s="236"/>
      <c r="X36" s="236"/>
      <c r="Y36" s="236"/>
      <c r="Z36" s="236"/>
    </row>
    <row r="37" spans="1:26" s="209" customFormat="1">
      <c r="A37" s="201"/>
      <c r="B37" s="202"/>
      <c r="C37" s="202"/>
      <c r="D37" s="203"/>
      <c r="E37" s="232"/>
      <c r="F37" s="233"/>
      <c r="G37" s="227" t="s">
        <v>286</v>
      </c>
      <c r="H37" s="301">
        <v>43340</v>
      </c>
      <c r="I37" s="226"/>
      <c r="J37" s="227" t="s">
        <v>671</v>
      </c>
      <c r="K37" s="227"/>
      <c r="L37" s="307"/>
      <c r="M37" s="307"/>
      <c r="N37" s="307" t="s">
        <v>1009</v>
      </c>
      <c r="O37" s="443"/>
      <c r="P37" s="441"/>
      <c r="Q37" s="221"/>
      <c r="R37" s="221"/>
      <c r="S37" s="221"/>
      <c r="T37" s="221"/>
      <c r="U37" s="221"/>
      <c r="V37" s="221"/>
      <c r="W37" s="221"/>
      <c r="X37" s="221"/>
      <c r="Y37" s="221"/>
      <c r="Z37" s="221"/>
    </row>
    <row r="38" spans="1:26" s="237" customFormat="1" ht="91.2">
      <c r="A38" s="229"/>
      <c r="B38" s="230"/>
      <c r="C38" s="230"/>
      <c r="D38" s="231"/>
      <c r="E38" s="232"/>
      <c r="F38" s="233"/>
      <c r="G38" s="234" t="s">
        <v>673</v>
      </c>
      <c r="H38" s="306">
        <v>43340</v>
      </c>
      <c r="I38" s="235"/>
      <c r="J38" s="234" t="s">
        <v>1021</v>
      </c>
      <c r="K38" s="234" t="s">
        <v>1011</v>
      </c>
      <c r="L38" s="307"/>
      <c r="M38" s="307" t="s">
        <v>1009</v>
      </c>
      <c r="N38" s="307"/>
      <c r="O38" s="443"/>
      <c r="P38" s="457"/>
      <c r="Q38" s="236"/>
      <c r="R38" s="236"/>
      <c r="S38" s="236"/>
      <c r="T38" s="236"/>
      <c r="U38" s="236"/>
      <c r="V38" s="236"/>
      <c r="W38" s="236"/>
      <c r="X38" s="236"/>
      <c r="Y38" s="236"/>
      <c r="Z38" s="236"/>
    </row>
    <row r="39" spans="1:26" s="209" customFormat="1">
      <c r="A39" s="201"/>
      <c r="B39" s="202"/>
      <c r="C39" s="202"/>
      <c r="D39" s="203"/>
      <c r="E39" s="225"/>
      <c r="F39" s="228"/>
      <c r="G39" s="227" t="s">
        <v>286</v>
      </c>
      <c r="H39" s="306">
        <v>43340</v>
      </c>
      <c r="I39" s="226"/>
      <c r="J39" s="227" t="s">
        <v>282</v>
      </c>
      <c r="K39" s="227"/>
      <c r="L39" s="303"/>
      <c r="M39" s="303"/>
      <c r="N39" s="303" t="s">
        <v>1009</v>
      </c>
      <c r="O39" s="444"/>
      <c r="P39" s="441"/>
      <c r="Q39" s="221"/>
      <c r="R39" s="221"/>
      <c r="S39" s="221"/>
      <c r="T39" s="221"/>
      <c r="U39" s="221"/>
      <c r="V39" s="221"/>
      <c r="W39" s="221"/>
      <c r="X39" s="221"/>
      <c r="Y39" s="221"/>
      <c r="Z39" s="221"/>
    </row>
    <row r="40" spans="1:26" s="237" customFormat="1" ht="114">
      <c r="A40" s="229"/>
      <c r="B40" s="230"/>
      <c r="C40" s="230"/>
      <c r="D40" s="231"/>
      <c r="E40" s="386"/>
      <c r="F40" s="387"/>
      <c r="G40" s="234" t="s">
        <v>674</v>
      </c>
      <c r="H40" s="301">
        <v>43340</v>
      </c>
      <c r="I40" s="235"/>
      <c r="J40" s="234" t="s">
        <v>333</v>
      </c>
      <c r="K40" s="234" t="s">
        <v>1011</v>
      </c>
      <c r="L40" s="351"/>
      <c r="M40" s="351" t="s">
        <v>1009</v>
      </c>
      <c r="N40" s="351"/>
      <c r="O40" s="443"/>
      <c r="P40" s="457"/>
      <c r="Q40" s="236"/>
      <c r="R40" s="236"/>
      <c r="S40" s="236"/>
      <c r="T40" s="236"/>
      <c r="U40" s="236"/>
      <c r="V40" s="236"/>
      <c r="W40" s="236"/>
      <c r="X40" s="236"/>
      <c r="Y40" s="236"/>
      <c r="Z40" s="236"/>
    </row>
    <row r="41" spans="1:26" s="209" customFormat="1">
      <c r="A41" s="241" t="e">
        <f t="shared" ref="A41:B41" si="8">#REF!</f>
        <v>#REF!</v>
      </c>
      <c r="B41" s="242" t="e">
        <f t="shared" si="8"/>
        <v>#REF!</v>
      </c>
      <c r="C41" s="242">
        <f>$I$5</f>
        <v>0</v>
      </c>
      <c r="D41" s="243">
        <f>$I$7</f>
        <v>0</v>
      </c>
      <c r="E41" s="244"/>
      <c r="F41" s="245"/>
      <c r="G41" s="227" t="s">
        <v>286</v>
      </c>
      <c r="H41" s="306">
        <v>43340</v>
      </c>
      <c r="I41" s="226"/>
      <c r="J41" s="227" t="s">
        <v>282</v>
      </c>
      <c r="K41" s="227"/>
      <c r="L41" s="210"/>
      <c r="M41" s="210"/>
      <c r="N41" s="303" t="s">
        <v>1009</v>
      </c>
      <c r="O41" s="444"/>
      <c r="P41" s="441"/>
      <c r="Q41" s="221"/>
      <c r="R41" s="221"/>
      <c r="S41" s="221"/>
      <c r="T41" s="221"/>
      <c r="U41" s="221"/>
      <c r="V41" s="221"/>
      <c r="W41" s="221"/>
      <c r="X41" s="221"/>
      <c r="Y41" s="221"/>
      <c r="Z41" s="221"/>
    </row>
    <row r="42" spans="1:26" s="237" customFormat="1" ht="114">
      <c r="A42" s="388"/>
      <c r="B42" s="389"/>
      <c r="C42" s="389"/>
      <c r="D42" s="390"/>
      <c r="E42" s="391"/>
      <c r="F42" s="392"/>
      <c r="G42" s="234" t="s">
        <v>675</v>
      </c>
      <c r="H42" s="301">
        <v>43340</v>
      </c>
      <c r="I42" s="235"/>
      <c r="J42" s="234" t="s">
        <v>1020</v>
      </c>
      <c r="K42" s="234" t="s">
        <v>1011</v>
      </c>
      <c r="L42" s="354"/>
      <c r="M42" s="354" t="s">
        <v>1009</v>
      </c>
      <c r="N42" s="355"/>
      <c r="O42" s="445"/>
      <c r="P42" s="458"/>
    </row>
    <row r="43" spans="1:26" s="209" customFormat="1" ht="12" thickBot="1">
      <c r="A43" s="246"/>
      <c r="B43" s="247"/>
      <c r="C43" s="247"/>
      <c r="D43" s="248"/>
      <c r="E43" s="249"/>
      <c r="F43" s="250"/>
      <c r="G43" s="227" t="s">
        <v>286</v>
      </c>
      <c r="H43" s="306">
        <v>43340</v>
      </c>
      <c r="I43" s="226"/>
      <c r="J43" s="227" t="s">
        <v>282</v>
      </c>
      <c r="K43" s="313"/>
      <c r="L43" s="311"/>
      <c r="M43" s="311"/>
      <c r="N43" s="312" t="s">
        <v>1009</v>
      </c>
      <c r="O43" s="446"/>
      <c r="P43" s="459"/>
    </row>
    <row r="44" spans="1:26" s="237" customFormat="1" ht="80.400000000000006" thickBot="1">
      <c r="A44" s="415" t="e">
        <f t="shared" ref="A44:B44" si="9">#REF!</f>
        <v>#REF!</v>
      </c>
      <c r="B44" s="416" t="e">
        <f t="shared" si="9"/>
        <v>#REF!</v>
      </c>
      <c r="C44" s="416">
        <f>$I$5</f>
        <v>0</v>
      </c>
      <c r="D44" s="417">
        <f>$I$7</f>
        <v>0</v>
      </c>
      <c r="E44" s="391"/>
      <c r="F44" s="392"/>
      <c r="G44" s="234" t="s">
        <v>676</v>
      </c>
      <c r="H44" s="301">
        <v>43340</v>
      </c>
      <c r="I44" s="235"/>
      <c r="J44" s="234" t="s">
        <v>1022</v>
      </c>
      <c r="K44" s="234" t="s">
        <v>1011</v>
      </c>
      <c r="L44" s="354"/>
      <c r="M44" s="354" t="s">
        <v>1009</v>
      </c>
      <c r="N44" s="355"/>
      <c r="O44" s="445"/>
      <c r="P44" s="458"/>
    </row>
    <row r="45" spans="1:26" s="209" customFormat="1">
      <c r="A45" s="251"/>
      <c r="B45" s="252"/>
      <c r="C45" s="252"/>
      <c r="D45" s="252"/>
      <c r="E45" s="253"/>
      <c r="F45" s="254"/>
      <c r="G45" s="227" t="s">
        <v>286</v>
      </c>
      <c r="H45" s="306">
        <v>43340</v>
      </c>
      <c r="I45" s="226"/>
      <c r="J45" s="227" t="s">
        <v>282</v>
      </c>
      <c r="K45" s="313"/>
      <c r="L45" s="311"/>
      <c r="M45" s="311"/>
      <c r="N45" s="312" t="s">
        <v>1009</v>
      </c>
      <c r="O45" s="446"/>
      <c r="P45" s="459"/>
    </row>
    <row r="46" spans="1:26" s="209" customFormat="1" ht="102.6">
      <c r="A46" s="251"/>
      <c r="B46" s="252"/>
      <c r="C46" s="252"/>
      <c r="D46" s="252"/>
      <c r="E46" s="414"/>
      <c r="F46" s="393"/>
      <c r="G46" s="234" t="s">
        <v>678</v>
      </c>
      <c r="H46" s="301">
        <v>43340</v>
      </c>
      <c r="I46" s="235"/>
      <c r="J46" s="234" t="s">
        <v>1022</v>
      </c>
      <c r="K46" s="234" t="s">
        <v>1011</v>
      </c>
      <c r="L46" s="358"/>
      <c r="M46" s="358" t="s">
        <v>1009</v>
      </c>
      <c r="N46" s="359"/>
      <c r="O46" s="447"/>
      <c r="P46" s="460"/>
      <c r="Q46" s="252"/>
      <c r="R46" s="252"/>
      <c r="S46" s="252"/>
      <c r="T46" s="252"/>
      <c r="U46" s="252"/>
    </row>
    <row r="47" spans="1:26" s="209" customFormat="1">
      <c r="A47" s="251"/>
      <c r="B47" s="252"/>
      <c r="C47" s="252"/>
      <c r="D47" s="252"/>
      <c r="E47" s="253"/>
      <c r="F47" s="254"/>
      <c r="G47" s="227" t="s">
        <v>286</v>
      </c>
      <c r="H47" s="306">
        <v>43340</v>
      </c>
      <c r="I47" s="226"/>
      <c r="J47" s="227" t="s">
        <v>679</v>
      </c>
      <c r="K47" s="254"/>
      <c r="L47" s="314"/>
      <c r="M47" s="314"/>
      <c r="N47" s="315" t="s">
        <v>1009</v>
      </c>
      <c r="O47" s="448"/>
      <c r="P47" s="460"/>
      <c r="Q47" s="252"/>
      <c r="R47" s="252"/>
      <c r="S47" s="252"/>
      <c r="T47" s="252"/>
      <c r="U47" s="252"/>
    </row>
    <row r="48" spans="1:26" s="209" customFormat="1" ht="102.6" hidden="1" outlineLevel="1">
      <c r="A48" s="251"/>
      <c r="B48" s="252"/>
      <c r="C48" s="252"/>
      <c r="D48" s="252"/>
      <c r="E48" s="255"/>
      <c r="F48" s="256"/>
      <c r="G48" s="227" t="s">
        <v>680</v>
      </c>
      <c r="H48" s="301">
        <v>43340</v>
      </c>
      <c r="I48" s="226"/>
      <c r="J48" s="227" t="s">
        <v>677</v>
      </c>
      <c r="K48" s="227" t="s">
        <v>1011</v>
      </c>
      <c r="L48" s="316"/>
      <c r="M48" s="316" t="s">
        <v>1009</v>
      </c>
      <c r="N48" s="317"/>
      <c r="O48" s="448"/>
      <c r="P48" s="460"/>
      <c r="Q48" s="252"/>
      <c r="R48" s="252"/>
      <c r="S48" s="252"/>
      <c r="T48" s="252"/>
      <c r="U48" s="252"/>
    </row>
    <row r="49" spans="1:21" s="209" customFormat="1" ht="15.75" hidden="1" customHeight="1" outlineLevel="1">
      <c r="A49" s="251"/>
      <c r="B49" s="252"/>
      <c r="C49" s="252"/>
      <c r="D49" s="252"/>
      <c r="E49" s="255"/>
      <c r="F49" s="256"/>
      <c r="G49" s="227" t="s">
        <v>286</v>
      </c>
      <c r="H49" s="306">
        <v>43340</v>
      </c>
      <c r="I49" s="226"/>
      <c r="J49" s="227" t="s">
        <v>282</v>
      </c>
      <c r="K49" s="257"/>
      <c r="L49" s="316"/>
      <c r="M49" s="316"/>
      <c r="N49" s="317" t="s">
        <v>1009</v>
      </c>
      <c r="O49" s="448"/>
      <c r="P49" s="460"/>
      <c r="Q49" s="252"/>
      <c r="R49" s="252"/>
      <c r="S49" s="252"/>
      <c r="T49" s="252"/>
      <c r="U49" s="252"/>
    </row>
    <row r="50" spans="1:21" s="209" customFormat="1" ht="79.8" hidden="1" outlineLevel="1">
      <c r="A50" s="251"/>
      <c r="B50" s="252"/>
      <c r="C50" s="252"/>
      <c r="D50" s="252"/>
      <c r="E50" s="255"/>
      <c r="F50" s="256"/>
      <c r="G50" s="227" t="s">
        <v>681</v>
      </c>
      <c r="H50" s="301">
        <v>43340</v>
      </c>
      <c r="I50" s="226"/>
      <c r="J50" s="227" t="s">
        <v>682</v>
      </c>
      <c r="K50" s="227" t="s">
        <v>1011</v>
      </c>
      <c r="L50" s="316"/>
      <c r="M50" s="316" t="s">
        <v>1009</v>
      </c>
      <c r="N50" s="317"/>
      <c r="O50" s="448"/>
      <c r="P50" s="460"/>
      <c r="Q50" s="252"/>
      <c r="R50" s="252"/>
      <c r="S50" s="252"/>
      <c r="T50" s="252"/>
      <c r="U50" s="252"/>
    </row>
    <row r="51" spans="1:21" s="209" customFormat="1" ht="15.75" hidden="1" customHeight="1" outlineLevel="1">
      <c r="A51" s="251"/>
      <c r="B51" s="252"/>
      <c r="C51" s="252"/>
      <c r="D51" s="252"/>
      <c r="E51" s="255"/>
      <c r="F51" s="256"/>
      <c r="G51" s="227" t="s">
        <v>286</v>
      </c>
      <c r="H51" s="306">
        <v>43340</v>
      </c>
      <c r="I51" s="226"/>
      <c r="J51" s="227" t="s">
        <v>282</v>
      </c>
      <c r="K51" s="257"/>
      <c r="L51" s="316"/>
      <c r="M51" s="316"/>
      <c r="N51" s="317" t="s">
        <v>1009</v>
      </c>
      <c r="O51" s="448"/>
      <c r="P51" s="460"/>
      <c r="Q51" s="252"/>
      <c r="R51" s="252"/>
      <c r="S51" s="252"/>
      <c r="T51" s="252"/>
      <c r="U51" s="252"/>
    </row>
    <row r="52" spans="1:21" s="209" customFormat="1" ht="102.6" hidden="1" outlineLevel="1">
      <c r="A52" s="251"/>
      <c r="B52" s="252"/>
      <c r="C52" s="252"/>
      <c r="D52" s="252"/>
      <c r="E52" s="255"/>
      <c r="F52" s="256"/>
      <c r="G52" s="227" t="s">
        <v>683</v>
      </c>
      <c r="H52" s="301">
        <v>43340</v>
      </c>
      <c r="I52" s="226"/>
      <c r="J52" s="227" t="s">
        <v>682</v>
      </c>
      <c r="K52" s="227" t="s">
        <v>1011</v>
      </c>
      <c r="L52" s="316"/>
      <c r="M52" s="316" t="s">
        <v>1009</v>
      </c>
      <c r="N52" s="317"/>
      <c r="O52" s="448"/>
      <c r="P52" s="460"/>
      <c r="Q52" s="252"/>
      <c r="R52" s="252"/>
      <c r="S52" s="252"/>
      <c r="T52" s="252"/>
      <c r="U52" s="252"/>
    </row>
    <row r="53" spans="1:21" s="209" customFormat="1" ht="15.75" hidden="1" customHeight="1" outlineLevel="1">
      <c r="A53" s="251"/>
      <c r="B53" s="252"/>
      <c r="C53" s="252"/>
      <c r="D53" s="252"/>
      <c r="E53" s="255"/>
      <c r="F53" s="256"/>
      <c r="G53" s="227" t="s">
        <v>286</v>
      </c>
      <c r="H53" s="306">
        <v>43340</v>
      </c>
      <c r="I53" s="226"/>
      <c r="J53" s="227" t="s">
        <v>282</v>
      </c>
      <c r="K53" s="257"/>
      <c r="L53" s="316"/>
      <c r="M53" s="316"/>
      <c r="N53" s="317" t="s">
        <v>1009</v>
      </c>
      <c r="O53" s="448"/>
      <c r="P53" s="460"/>
      <c r="Q53" s="252"/>
      <c r="R53" s="252"/>
      <c r="S53" s="252"/>
      <c r="T53" s="252"/>
      <c r="U53" s="252"/>
    </row>
    <row r="54" spans="1:21" s="209" customFormat="1" ht="102.6" hidden="1" outlineLevel="1">
      <c r="A54" s="251"/>
      <c r="B54" s="252"/>
      <c r="C54" s="252"/>
      <c r="D54" s="252"/>
      <c r="E54" s="255"/>
      <c r="F54" s="256"/>
      <c r="G54" s="227" t="s">
        <v>684</v>
      </c>
      <c r="H54" s="301">
        <v>43340</v>
      </c>
      <c r="I54" s="226"/>
      <c r="J54" s="227" t="s">
        <v>682</v>
      </c>
      <c r="K54" s="240" t="s">
        <v>1011</v>
      </c>
      <c r="L54" s="316"/>
      <c r="M54" s="316" t="s">
        <v>1009</v>
      </c>
      <c r="N54" s="317"/>
      <c r="O54" s="448"/>
      <c r="P54" s="460"/>
      <c r="Q54" s="252"/>
      <c r="R54" s="252"/>
      <c r="S54" s="252"/>
      <c r="T54" s="252"/>
      <c r="U54" s="252"/>
    </row>
    <row r="55" spans="1:21" s="237" customFormat="1" ht="102.6" outlineLevel="1">
      <c r="A55" s="394"/>
      <c r="B55" s="395"/>
      <c r="C55" s="395"/>
      <c r="D55" s="395"/>
      <c r="E55" s="396"/>
      <c r="F55" s="397"/>
      <c r="G55" s="234" t="s">
        <v>1032</v>
      </c>
      <c r="H55" s="306">
        <v>43340</v>
      </c>
      <c r="I55" s="398"/>
      <c r="J55" s="399" t="s">
        <v>1031</v>
      </c>
      <c r="K55" s="234" t="s">
        <v>1011</v>
      </c>
      <c r="L55" s="400"/>
      <c r="M55" s="363" t="s">
        <v>1009</v>
      </c>
      <c r="N55" s="364"/>
      <c r="O55" s="449"/>
      <c r="P55" s="461"/>
      <c r="Q55" s="395"/>
      <c r="R55" s="395"/>
      <c r="S55" s="395"/>
      <c r="T55" s="395"/>
      <c r="U55" s="395"/>
    </row>
    <row r="56" spans="1:21" s="209" customFormat="1" outlineLevel="1">
      <c r="A56" s="251"/>
      <c r="B56" s="252"/>
      <c r="C56" s="252"/>
      <c r="D56" s="252"/>
      <c r="E56" s="380"/>
      <c r="F56" s="382"/>
      <c r="G56" s="240" t="s">
        <v>286</v>
      </c>
      <c r="H56" s="301">
        <v>43340</v>
      </c>
      <c r="I56" s="226"/>
      <c r="J56" s="240" t="s">
        <v>679</v>
      </c>
      <c r="K56" s="383"/>
      <c r="L56" s="384"/>
      <c r="M56" s="384"/>
      <c r="N56" s="384" t="s">
        <v>1009</v>
      </c>
      <c r="O56" s="450"/>
      <c r="P56" s="460"/>
      <c r="Q56" s="252"/>
      <c r="R56" s="252"/>
      <c r="S56" s="252"/>
      <c r="T56" s="252"/>
      <c r="U56" s="252"/>
    </row>
    <row r="57" spans="1:21" s="237" customFormat="1" ht="125.4" outlineLevel="1">
      <c r="A57" s="394"/>
      <c r="B57" s="395"/>
      <c r="C57" s="395"/>
      <c r="D57" s="395"/>
      <c r="E57" s="401"/>
      <c r="F57" s="402"/>
      <c r="G57" s="403" t="s">
        <v>1033</v>
      </c>
      <c r="H57" s="306">
        <v>43340</v>
      </c>
      <c r="I57" s="404"/>
      <c r="J57" s="399" t="s">
        <v>1031</v>
      </c>
      <c r="K57" s="234" t="s">
        <v>1011</v>
      </c>
      <c r="L57" s="405"/>
      <c r="M57" s="405" t="s">
        <v>1009</v>
      </c>
      <c r="N57" s="405"/>
      <c r="O57" s="451"/>
      <c r="P57" s="461"/>
      <c r="Q57" s="395"/>
      <c r="R57" s="395"/>
      <c r="S57" s="395"/>
      <c r="T57" s="395"/>
      <c r="U57" s="395"/>
    </row>
    <row r="58" spans="1:21" s="209" customFormat="1" outlineLevel="1">
      <c r="A58" s="251"/>
      <c r="B58" s="252"/>
      <c r="C58" s="252"/>
      <c r="D58" s="252"/>
      <c r="E58" s="380"/>
      <c r="F58" s="184"/>
      <c r="G58" s="381" t="s">
        <v>286</v>
      </c>
      <c r="H58" s="301">
        <v>43340</v>
      </c>
      <c r="I58" s="264"/>
      <c r="J58" s="381" t="s">
        <v>679</v>
      </c>
      <c r="K58" s="266"/>
      <c r="L58" s="373"/>
      <c r="M58" s="373"/>
      <c r="N58" s="373" t="s">
        <v>1009</v>
      </c>
      <c r="O58" s="452"/>
      <c r="P58" s="460"/>
      <c r="Q58" s="252"/>
      <c r="R58" s="252"/>
      <c r="S58" s="252"/>
      <c r="T58" s="252"/>
      <c r="U58" s="252"/>
    </row>
    <row r="59" spans="1:21" s="209" customFormat="1" ht="45.6">
      <c r="A59" s="251"/>
      <c r="B59" s="252"/>
      <c r="C59" s="252"/>
      <c r="D59" s="252"/>
      <c r="E59" s="377">
        <v>6</v>
      </c>
      <c r="F59" s="378" t="s">
        <v>337</v>
      </c>
      <c r="G59" s="258" t="s">
        <v>685</v>
      </c>
      <c r="H59" s="306">
        <v>43340</v>
      </c>
      <c r="I59" s="379"/>
      <c r="J59" s="259" t="s">
        <v>686</v>
      </c>
      <c r="K59" s="259" t="s">
        <v>686</v>
      </c>
      <c r="L59" s="371" t="s">
        <v>1009</v>
      </c>
      <c r="M59" s="371"/>
      <c r="N59" s="372"/>
      <c r="O59" s="453"/>
      <c r="P59" s="460"/>
      <c r="Q59" s="252"/>
      <c r="R59" s="252"/>
      <c r="S59" s="252"/>
      <c r="T59" s="252"/>
      <c r="U59" s="252"/>
    </row>
    <row r="60" spans="1:21" s="209" customFormat="1" ht="57">
      <c r="A60" s="251"/>
      <c r="B60" s="252"/>
      <c r="C60" s="252"/>
      <c r="D60" s="252"/>
      <c r="E60" s="253"/>
      <c r="F60" s="245"/>
      <c r="G60" s="227" t="s">
        <v>687</v>
      </c>
      <c r="H60" s="301">
        <v>43340</v>
      </c>
      <c r="I60" s="226"/>
      <c r="J60" s="226" t="s">
        <v>688</v>
      </c>
      <c r="K60" s="226" t="s">
        <v>688</v>
      </c>
      <c r="L60" s="314" t="s">
        <v>1009</v>
      </c>
      <c r="M60" s="314"/>
      <c r="N60" s="315"/>
      <c r="O60" s="448"/>
      <c r="P60" s="460"/>
      <c r="Q60" s="252"/>
      <c r="R60" s="252"/>
      <c r="S60" s="252"/>
      <c r="T60" s="252"/>
      <c r="U60" s="252"/>
    </row>
    <row r="61" spans="1:21" s="209" customFormat="1" ht="45.6">
      <c r="A61" s="251"/>
      <c r="B61" s="252"/>
      <c r="C61" s="252"/>
      <c r="D61" s="252"/>
      <c r="E61" s="253"/>
      <c r="F61" s="245"/>
      <c r="G61" s="258" t="s">
        <v>689</v>
      </c>
      <c r="H61" s="306">
        <v>43340</v>
      </c>
      <c r="I61" s="226"/>
      <c r="J61" s="227" t="s">
        <v>690</v>
      </c>
      <c r="K61" s="227" t="s">
        <v>690</v>
      </c>
      <c r="L61" s="314" t="s">
        <v>1009</v>
      </c>
      <c r="M61" s="314"/>
      <c r="N61" s="315"/>
      <c r="O61" s="448"/>
      <c r="P61" s="460"/>
      <c r="Q61" s="252"/>
      <c r="R61" s="252"/>
      <c r="S61" s="252"/>
      <c r="T61" s="252"/>
      <c r="U61" s="252"/>
    </row>
    <row r="62" spans="1:21" s="209" customFormat="1" ht="45.6">
      <c r="A62" s="251"/>
      <c r="B62" s="252"/>
      <c r="C62" s="252"/>
      <c r="D62" s="252"/>
      <c r="E62" s="253"/>
      <c r="F62" s="245"/>
      <c r="G62" s="227" t="s">
        <v>691</v>
      </c>
      <c r="H62" s="301">
        <v>43340</v>
      </c>
      <c r="I62" s="226"/>
      <c r="J62" s="259" t="s">
        <v>690</v>
      </c>
      <c r="K62" s="259" t="s">
        <v>690</v>
      </c>
      <c r="L62" s="314" t="s">
        <v>1009</v>
      </c>
      <c r="M62" s="314"/>
      <c r="N62" s="315"/>
      <c r="O62" s="448"/>
      <c r="P62" s="460"/>
      <c r="Q62" s="252"/>
      <c r="R62" s="252"/>
      <c r="S62" s="252"/>
      <c r="T62" s="252"/>
      <c r="U62" s="252"/>
    </row>
    <row r="63" spans="1:21" s="209" customFormat="1" ht="45.6">
      <c r="A63" s="251"/>
      <c r="B63" s="252"/>
      <c r="C63" s="252"/>
      <c r="D63" s="252"/>
      <c r="E63" s="253"/>
      <c r="F63" s="245"/>
      <c r="G63" s="227" t="s">
        <v>692</v>
      </c>
      <c r="H63" s="306">
        <v>43340</v>
      </c>
      <c r="I63" s="226"/>
      <c r="J63" s="226" t="s">
        <v>693</v>
      </c>
      <c r="K63" s="226" t="s">
        <v>693</v>
      </c>
      <c r="L63" s="314" t="s">
        <v>1009</v>
      </c>
      <c r="M63" s="314"/>
      <c r="N63" s="315"/>
      <c r="O63" s="448"/>
      <c r="P63" s="460"/>
      <c r="Q63" s="252"/>
      <c r="R63" s="252"/>
      <c r="S63" s="252"/>
      <c r="T63" s="252"/>
      <c r="U63" s="252"/>
    </row>
    <row r="64" spans="1:21" s="209" customFormat="1" ht="45.6">
      <c r="A64" s="251"/>
      <c r="B64" s="252"/>
      <c r="C64" s="252"/>
      <c r="D64" s="252"/>
      <c r="E64" s="253"/>
      <c r="F64" s="245"/>
      <c r="G64" s="227" t="s">
        <v>694</v>
      </c>
      <c r="H64" s="301">
        <v>43340</v>
      </c>
      <c r="I64" s="226"/>
      <c r="J64" s="226" t="s">
        <v>693</v>
      </c>
      <c r="K64" s="226" t="s">
        <v>693</v>
      </c>
      <c r="L64" s="314" t="s">
        <v>1009</v>
      </c>
      <c r="M64" s="314"/>
      <c r="N64" s="315"/>
      <c r="O64" s="448"/>
      <c r="P64" s="460"/>
      <c r="Q64" s="252"/>
      <c r="R64" s="252"/>
      <c r="S64" s="252"/>
      <c r="T64" s="252"/>
      <c r="U64" s="252"/>
    </row>
    <row r="65" spans="1:21" s="209" customFormat="1" ht="45.6">
      <c r="A65" s="251"/>
      <c r="B65" s="252"/>
      <c r="C65" s="252"/>
      <c r="D65" s="252"/>
      <c r="E65" s="253"/>
      <c r="F65" s="245"/>
      <c r="G65" s="227" t="s">
        <v>695</v>
      </c>
      <c r="H65" s="306">
        <v>43340</v>
      </c>
      <c r="I65" s="226"/>
      <c r="J65" s="226" t="s">
        <v>696</v>
      </c>
      <c r="K65" s="226" t="s">
        <v>696</v>
      </c>
      <c r="L65" s="314" t="s">
        <v>1009</v>
      </c>
      <c r="M65" s="314"/>
      <c r="N65" s="315"/>
      <c r="O65" s="448"/>
      <c r="P65" s="460"/>
      <c r="Q65" s="252"/>
      <c r="R65" s="252"/>
      <c r="S65" s="252"/>
      <c r="T65" s="252"/>
      <c r="U65" s="252"/>
    </row>
    <row r="66" spans="1:21" s="209" customFormat="1" ht="45.6">
      <c r="A66" s="251"/>
      <c r="B66" s="252"/>
      <c r="C66" s="252"/>
      <c r="D66" s="252"/>
      <c r="E66" s="253"/>
      <c r="F66" s="245"/>
      <c r="G66" s="227" t="s">
        <v>697</v>
      </c>
      <c r="H66" s="301">
        <v>43340</v>
      </c>
      <c r="I66" s="226"/>
      <c r="J66" s="226" t="s">
        <v>698</v>
      </c>
      <c r="K66" s="226" t="s">
        <v>698</v>
      </c>
      <c r="L66" s="314" t="s">
        <v>1009</v>
      </c>
      <c r="M66" s="314"/>
      <c r="N66" s="315"/>
      <c r="O66" s="448"/>
      <c r="P66" s="460"/>
      <c r="Q66" s="252"/>
      <c r="R66" s="252"/>
      <c r="S66" s="252"/>
      <c r="T66" s="252"/>
      <c r="U66" s="252"/>
    </row>
    <row r="67" spans="1:21" s="209" customFormat="1" ht="45.6">
      <c r="A67" s="251"/>
      <c r="B67" s="252"/>
      <c r="C67" s="252"/>
      <c r="D67" s="252"/>
      <c r="E67" s="253"/>
      <c r="F67" s="245"/>
      <c r="G67" s="227" t="s">
        <v>699</v>
      </c>
      <c r="H67" s="306">
        <v>43340</v>
      </c>
      <c r="I67" s="226"/>
      <c r="J67" s="226" t="s">
        <v>698</v>
      </c>
      <c r="K67" s="226" t="s">
        <v>698</v>
      </c>
      <c r="L67" s="314" t="s">
        <v>1009</v>
      </c>
      <c r="M67" s="314"/>
      <c r="N67" s="315"/>
      <c r="O67" s="448"/>
      <c r="P67" s="460"/>
      <c r="Q67" s="252"/>
      <c r="R67" s="252"/>
      <c r="S67" s="252"/>
      <c r="T67" s="252"/>
      <c r="U67" s="252"/>
    </row>
    <row r="68" spans="1:21" s="209" customFormat="1" ht="45.6">
      <c r="A68" s="251"/>
      <c r="B68" s="252"/>
      <c r="C68" s="252"/>
      <c r="D68" s="252"/>
      <c r="E68" s="253"/>
      <c r="F68" s="245"/>
      <c r="G68" s="227" t="s">
        <v>700</v>
      </c>
      <c r="H68" s="301">
        <v>43340</v>
      </c>
      <c r="I68" s="226"/>
      <c r="J68" s="226" t="s">
        <v>701</v>
      </c>
      <c r="K68" s="226" t="s">
        <v>701</v>
      </c>
      <c r="L68" s="314" t="s">
        <v>1009</v>
      </c>
      <c r="M68" s="314"/>
      <c r="N68" s="315"/>
      <c r="O68" s="448"/>
      <c r="P68" s="460"/>
      <c r="Q68" s="252"/>
      <c r="R68" s="252"/>
      <c r="S68" s="252"/>
      <c r="T68" s="252"/>
      <c r="U68" s="252"/>
    </row>
    <row r="69" spans="1:21" s="209" customFormat="1" ht="45.6">
      <c r="A69" s="251"/>
      <c r="B69" s="252"/>
      <c r="C69" s="252"/>
      <c r="D69" s="252"/>
      <c r="E69" s="253"/>
      <c r="F69" s="245"/>
      <c r="G69" s="227" t="s">
        <v>702</v>
      </c>
      <c r="H69" s="306">
        <v>43340</v>
      </c>
      <c r="I69" s="226"/>
      <c r="J69" s="226" t="s">
        <v>703</v>
      </c>
      <c r="K69" s="226" t="s">
        <v>703</v>
      </c>
      <c r="L69" s="314" t="s">
        <v>1009</v>
      </c>
      <c r="M69" s="314"/>
      <c r="N69" s="315"/>
      <c r="O69" s="448"/>
      <c r="P69" s="460"/>
      <c r="Q69" s="252"/>
      <c r="R69" s="252"/>
      <c r="S69" s="252"/>
      <c r="T69" s="252"/>
      <c r="U69" s="252"/>
    </row>
    <row r="70" spans="1:21" s="209" customFormat="1" ht="45.6">
      <c r="A70" s="251"/>
      <c r="B70" s="252"/>
      <c r="C70" s="252"/>
      <c r="D70" s="252"/>
      <c r="E70" s="253"/>
      <c r="F70" s="245"/>
      <c r="G70" s="227" t="s">
        <v>704</v>
      </c>
      <c r="H70" s="301">
        <v>43340</v>
      </c>
      <c r="I70" s="226"/>
      <c r="J70" s="226" t="s">
        <v>703</v>
      </c>
      <c r="K70" s="226" t="s">
        <v>703</v>
      </c>
      <c r="L70" s="314" t="s">
        <v>1009</v>
      </c>
      <c r="M70" s="314"/>
      <c r="N70" s="315"/>
      <c r="O70" s="448"/>
      <c r="P70" s="460"/>
      <c r="Q70" s="252"/>
      <c r="R70" s="252"/>
      <c r="S70" s="252"/>
      <c r="T70" s="252"/>
      <c r="U70" s="252"/>
    </row>
    <row r="71" spans="1:21" s="209" customFormat="1" ht="45.6">
      <c r="A71" s="251"/>
      <c r="B71" s="252"/>
      <c r="C71" s="252"/>
      <c r="D71" s="252"/>
      <c r="E71" s="253"/>
      <c r="F71" s="245"/>
      <c r="G71" s="227" t="s">
        <v>705</v>
      </c>
      <c r="H71" s="306">
        <v>43340</v>
      </c>
      <c r="I71" s="226"/>
      <c r="J71" s="226" t="s">
        <v>703</v>
      </c>
      <c r="K71" s="226" t="s">
        <v>703</v>
      </c>
      <c r="L71" s="314" t="s">
        <v>1009</v>
      </c>
      <c r="M71" s="314"/>
      <c r="N71" s="315"/>
      <c r="O71" s="448"/>
      <c r="P71" s="460"/>
      <c r="Q71" s="252"/>
      <c r="R71" s="252"/>
      <c r="S71" s="252"/>
      <c r="T71" s="252"/>
      <c r="U71" s="252"/>
    </row>
    <row r="72" spans="1:21" s="209" customFormat="1" ht="45.6">
      <c r="A72" s="251"/>
      <c r="B72" s="252"/>
      <c r="C72" s="252"/>
      <c r="D72" s="252"/>
      <c r="E72" s="253"/>
      <c r="F72" s="245"/>
      <c r="G72" s="227" t="s">
        <v>706</v>
      </c>
      <c r="H72" s="301">
        <v>43340</v>
      </c>
      <c r="I72" s="226"/>
      <c r="J72" s="226" t="s">
        <v>707</v>
      </c>
      <c r="K72" s="226" t="s">
        <v>707</v>
      </c>
      <c r="L72" s="314" t="s">
        <v>1009</v>
      </c>
      <c r="M72" s="314"/>
      <c r="N72" s="315"/>
      <c r="O72" s="448"/>
      <c r="P72" s="460"/>
      <c r="Q72" s="252"/>
      <c r="R72" s="252"/>
      <c r="S72" s="252"/>
      <c r="T72" s="252"/>
      <c r="U72" s="252"/>
    </row>
    <row r="73" spans="1:21" s="209" customFormat="1" ht="45.6">
      <c r="A73" s="251"/>
      <c r="B73" s="252"/>
      <c r="C73" s="252"/>
      <c r="D73" s="252"/>
      <c r="E73" s="253"/>
      <c r="F73" s="245"/>
      <c r="G73" s="227" t="s">
        <v>708</v>
      </c>
      <c r="H73" s="306">
        <v>43340</v>
      </c>
      <c r="I73" s="226"/>
      <c r="J73" s="226" t="s">
        <v>709</v>
      </c>
      <c r="K73" s="226" t="s">
        <v>709</v>
      </c>
      <c r="L73" s="314" t="s">
        <v>1009</v>
      </c>
      <c r="M73" s="314"/>
      <c r="N73" s="315"/>
      <c r="O73" s="448"/>
      <c r="P73" s="460"/>
      <c r="Q73" s="252"/>
      <c r="R73" s="252"/>
      <c r="S73" s="252"/>
      <c r="T73" s="252"/>
      <c r="U73" s="252"/>
    </row>
    <row r="74" spans="1:21" s="209" customFormat="1" ht="45.6">
      <c r="A74" s="251"/>
      <c r="B74" s="252"/>
      <c r="C74" s="252"/>
      <c r="D74" s="252"/>
      <c r="E74" s="253"/>
      <c r="F74" s="245"/>
      <c r="G74" s="227" t="s">
        <v>710</v>
      </c>
      <c r="H74" s="301">
        <v>43340</v>
      </c>
      <c r="I74" s="226"/>
      <c r="J74" s="226" t="s">
        <v>711</v>
      </c>
      <c r="K74" s="226" t="s">
        <v>711</v>
      </c>
      <c r="L74" s="314" t="s">
        <v>1009</v>
      </c>
      <c r="M74" s="314"/>
      <c r="N74" s="315"/>
      <c r="O74" s="448"/>
      <c r="P74" s="460"/>
      <c r="Q74" s="252"/>
      <c r="R74" s="252"/>
      <c r="S74" s="252"/>
      <c r="T74" s="252"/>
      <c r="U74" s="252"/>
    </row>
    <row r="75" spans="1:21" s="209" customFormat="1" ht="45.6">
      <c r="A75" s="251"/>
      <c r="B75" s="252"/>
      <c r="C75" s="252"/>
      <c r="D75" s="252"/>
      <c r="E75" s="253"/>
      <c r="F75" s="245"/>
      <c r="G75" s="227" t="s">
        <v>712</v>
      </c>
      <c r="H75" s="306">
        <v>43340</v>
      </c>
      <c r="I75" s="226"/>
      <c r="J75" s="226" t="s">
        <v>711</v>
      </c>
      <c r="K75" s="226" t="s">
        <v>711</v>
      </c>
      <c r="L75" s="314" t="s">
        <v>1009</v>
      </c>
      <c r="M75" s="314"/>
      <c r="N75" s="315"/>
      <c r="O75" s="448"/>
      <c r="P75" s="460"/>
      <c r="Q75" s="252"/>
      <c r="R75" s="252"/>
      <c r="S75" s="252"/>
      <c r="T75" s="252"/>
      <c r="U75" s="252"/>
    </row>
    <row r="76" spans="1:21" s="209" customFormat="1" ht="45.6">
      <c r="A76" s="251"/>
      <c r="B76" s="252"/>
      <c r="C76" s="252"/>
      <c r="D76" s="252"/>
      <c r="E76" s="253"/>
      <c r="F76" s="245"/>
      <c r="G76" s="227" t="s">
        <v>713</v>
      </c>
      <c r="H76" s="301">
        <v>43340</v>
      </c>
      <c r="I76" s="226"/>
      <c r="J76" s="226" t="s">
        <v>714</v>
      </c>
      <c r="K76" s="226" t="s">
        <v>714</v>
      </c>
      <c r="L76" s="314" t="s">
        <v>1009</v>
      </c>
      <c r="M76" s="314"/>
      <c r="N76" s="315"/>
      <c r="O76" s="448"/>
      <c r="P76" s="460"/>
      <c r="Q76" s="252"/>
      <c r="R76" s="252"/>
      <c r="S76" s="252"/>
      <c r="T76" s="252"/>
      <c r="U76" s="252"/>
    </row>
    <row r="77" spans="1:21" s="209" customFormat="1" ht="57">
      <c r="A77" s="251"/>
      <c r="B77" s="252"/>
      <c r="C77" s="252"/>
      <c r="D77" s="252"/>
      <c r="E77" s="253"/>
      <c r="F77" s="245"/>
      <c r="G77" s="227" t="s">
        <v>715</v>
      </c>
      <c r="H77" s="306">
        <v>43340</v>
      </c>
      <c r="I77" s="226"/>
      <c r="J77" s="226" t="s">
        <v>711</v>
      </c>
      <c r="K77" s="226" t="s">
        <v>711</v>
      </c>
      <c r="L77" s="314" t="s">
        <v>1009</v>
      </c>
      <c r="M77" s="314"/>
      <c r="N77" s="315"/>
      <c r="O77" s="448"/>
      <c r="P77" s="460"/>
      <c r="Q77" s="252"/>
      <c r="R77" s="252"/>
      <c r="S77" s="252"/>
      <c r="T77" s="252"/>
      <c r="U77" s="252"/>
    </row>
    <row r="78" spans="1:21" s="209" customFormat="1" ht="45.6">
      <c r="A78" s="251"/>
      <c r="B78" s="252"/>
      <c r="C78" s="252"/>
      <c r="D78" s="252"/>
      <c r="E78" s="253"/>
      <c r="F78" s="245"/>
      <c r="G78" s="227" t="s">
        <v>716</v>
      </c>
      <c r="H78" s="301">
        <v>43340</v>
      </c>
      <c r="I78" s="226"/>
      <c r="J78" s="226" t="s">
        <v>711</v>
      </c>
      <c r="K78" s="226" t="s">
        <v>711</v>
      </c>
      <c r="L78" s="314" t="s">
        <v>1009</v>
      </c>
      <c r="M78" s="314"/>
      <c r="N78" s="315"/>
      <c r="O78" s="448"/>
      <c r="P78" s="460"/>
      <c r="Q78" s="252"/>
      <c r="R78" s="252"/>
      <c r="S78" s="252"/>
      <c r="T78" s="252"/>
      <c r="U78" s="252"/>
    </row>
    <row r="79" spans="1:21" s="209" customFormat="1" ht="45.6">
      <c r="A79" s="251"/>
      <c r="B79" s="252"/>
      <c r="C79" s="252"/>
      <c r="D79" s="252"/>
      <c r="E79" s="253"/>
      <c r="F79" s="245"/>
      <c r="G79" s="227" t="s">
        <v>717</v>
      </c>
      <c r="H79" s="306">
        <v>43340</v>
      </c>
      <c r="I79" s="226"/>
      <c r="J79" s="226" t="s">
        <v>711</v>
      </c>
      <c r="K79" s="226" t="s">
        <v>711</v>
      </c>
      <c r="L79" s="314" t="s">
        <v>1009</v>
      </c>
      <c r="M79" s="314"/>
      <c r="N79" s="315"/>
      <c r="O79" s="448"/>
      <c r="P79" s="460"/>
      <c r="Q79" s="252"/>
      <c r="R79" s="252"/>
      <c r="S79" s="252"/>
      <c r="T79" s="252"/>
      <c r="U79" s="252"/>
    </row>
    <row r="80" spans="1:21" s="209" customFormat="1" ht="45.6">
      <c r="A80" s="251"/>
      <c r="B80" s="252"/>
      <c r="C80" s="252"/>
      <c r="D80" s="252"/>
      <c r="E80" s="253"/>
      <c r="F80" s="245"/>
      <c r="G80" s="227" t="s">
        <v>718</v>
      </c>
      <c r="H80" s="301">
        <v>43340</v>
      </c>
      <c r="I80" s="226"/>
      <c r="J80" s="226" t="s">
        <v>711</v>
      </c>
      <c r="K80" s="226" t="s">
        <v>711</v>
      </c>
      <c r="L80" s="314" t="s">
        <v>1009</v>
      </c>
      <c r="M80" s="314"/>
      <c r="N80" s="315"/>
      <c r="O80" s="448"/>
      <c r="P80" s="460"/>
      <c r="Q80" s="252"/>
      <c r="R80" s="252"/>
      <c r="S80" s="252"/>
      <c r="T80" s="252"/>
      <c r="U80" s="252"/>
    </row>
    <row r="81" spans="1:26" s="209" customFormat="1" ht="45.6">
      <c r="A81" s="251"/>
      <c r="B81" s="252"/>
      <c r="C81" s="252"/>
      <c r="D81" s="252"/>
      <c r="E81" s="253"/>
      <c r="F81" s="245"/>
      <c r="G81" s="227" t="s">
        <v>719</v>
      </c>
      <c r="H81" s="306">
        <v>43340</v>
      </c>
      <c r="I81" s="226"/>
      <c r="J81" s="226" t="s">
        <v>333</v>
      </c>
      <c r="K81" s="226" t="s">
        <v>1192</v>
      </c>
      <c r="L81" s="314"/>
      <c r="M81" s="314" t="s">
        <v>1009</v>
      </c>
      <c r="N81" s="315"/>
      <c r="O81" s="448"/>
      <c r="P81" s="460"/>
      <c r="Q81" s="252"/>
      <c r="R81" s="252"/>
      <c r="S81" s="252"/>
      <c r="T81" s="252"/>
      <c r="U81" s="252"/>
    </row>
    <row r="82" spans="1:26" s="209" customFormat="1" ht="22.8">
      <c r="A82" s="251"/>
      <c r="B82" s="252"/>
      <c r="C82" s="252"/>
      <c r="D82" s="252"/>
      <c r="E82" s="253"/>
      <c r="F82" s="245"/>
      <c r="G82" s="227" t="s">
        <v>286</v>
      </c>
      <c r="H82" s="301">
        <v>43340</v>
      </c>
      <c r="I82" s="226"/>
      <c r="J82" s="226" t="s">
        <v>720</v>
      </c>
      <c r="K82" s="226" t="s">
        <v>720</v>
      </c>
      <c r="L82" s="314" t="s">
        <v>1009</v>
      </c>
      <c r="M82" s="314"/>
      <c r="N82" s="315"/>
      <c r="O82" s="448"/>
      <c r="P82" s="460"/>
      <c r="Q82" s="252"/>
      <c r="R82" s="252"/>
      <c r="S82" s="252"/>
      <c r="T82" s="252"/>
      <c r="U82" s="252"/>
    </row>
    <row r="83" spans="1:26" s="209" customFormat="1" ht="57">
      <c r="A83" s="251"/>
      <c r="B83" s="252"/>
      <c r="C83" s="252"/>
      <c r="D83" s="252"/>
      <c r="E83" s="253"/>
      <c r="F83" s="245"/>
      <c r="G83" s="227" t="s">
        <v>721</v>
      </c>
      <c r="H83" s="306">
        <v>43340</v>
      </c>
      <c r="I83" s="226"/>
      <c r="J83" s="226" t="s">
        <v>288</v>
      </c>
      <c r="K83" s="226" t="s">
        <v>288</v>
      </c>
      <c r="L83" s="314" t="s">
        <v>1009</v>
      </c>
      <c r="M83" s="314"/>
      <c r="N83" s="315"/>
      <c r="O83" s="448"/>
      <c r="P83" s="460"/>
      <c r="Q83" s="252"/>
      <c r="R83" s="252"/>
      <c r="S83" s="252"/>
      <c r="T83" s="252"/>
      <c r="U83" s="252"/>
    </row>
    <row r="84" spans="1:26" s="209" customFormat="1" ht="34.200000000000003">
      <c r="A84" s="251"/>
      <c r="B84" s="252"/>
      <c r="C84" s="252"/>
      <c r="D84" s="252"/>
      <c r="E84" s="253"/>
      <c r="F84" s="245"/>
      <c r="G84" s="227" t="s">
        <v>289</v>
      </c>
      <c r="H84" s="301">
        <v>43340</v>
      </c>
      <c r="I84" s="226"/>
      <c r="J84" s="226" t="s">
        <v>282</v>
      </c>
      <c r="K84" s="226" t="s">
        <v>282</v>
      </c>
      <c r="L84" s="314" t="s">
        <v>1009</v>
      </c>
      <c r="M84" s="314"/>
      <c r="N84" s="315"/>
      <c r="O84" s="448"/>
      <c r="P84" s="460"/>
      <c r="Q84" s="252"/>
      <c r="R84" s="252"/>
      <c r="S84" s="252"/>
      <c r="T84" s="252"/>
      <c r="U84" s="252"/>
    </row>
    <row r="85" spans="1:26" s="209" customFormat="1" ht="34.200000000000003">
      <c r="A85" s="251"/>
      <c r="B85" s="252"/>
      <c r="C85" s="252"/>
      <c r="D85" s="252"/>
      <c r="E85" s="253"/>
      <c r="F85" s="245"/>
      <c r="G85" s="227" t="s">
        <v>290</v>
      </c>
      <c r="H85" s="306">
        <v>43340</v>
      </c>
      <c r="I85" s="226"/>
      <c r="J85" s="226" t="s">
        <v>722</v>
      </c>
      <c r="K85" s="226" t="s">
        <v>722</v>
      </c>
      <c r="L85" s="314" t="s">
        <v>1009</v>
      </c>
      <c r="M85" s="314"/>
      <c r="N85" s="315"/>
      <c r="O85" s="448"/>
      <c r="P85" s="460"/>
      <c r="Q85" s="252"/>
      <c r="R85" s="252"/>
      <c r="S85" s="252"/>
      <c r="T85" s="252"/>
      <c r="U85" s="252"/>
      <c r="V85" s="252"/>
      <c r="W85" s="252"/>
      <c r="X85" s="252"/>
      <c r="Y85" s="252"/>
      <c r="Z85" s="252"/>
    </row>
    <row r="86" spans="1:26" s="209" customFormat="1" ht="15.75" customHeight="1">
      <c r="A86" s="251"/>
      <c r="B86" s="252"/>
      <c r="C86" s="252"/>
      <c r="D86" s="252"/>
      <c r="E86" s="253"/>
      <c r="F86" s="245"/>
      <c r="G86" s="227" t="s">
        <v>286</v>
      </c>
      <c r="H86" s="301">
        <v>43340</v>
      </c>
      <c r="I86" s="226"/>
      <c r="J86" s="226" t="s">
        <v>282</v>
      </c>
      <c r="K86" s="254"/>
      <c r="L86" s="314" t="s">
        <v>1009</v>
      </c>
      <c r="M86" s="314"/>
      <c r="N86" s="315"/>
      <c r="O86" s="448"/>
      <c r="P86" s="460"/>
      <c r="Q86" s="252"/>
      <c r="R86" s="252"/>
      <c r="S86" s="252"/>
      <c r="T86" s="252"/>
      <c r="U86" s="252"/>
      <c r="V86" s="252"/>
      <c r="W86" s="252"/>
      <c r="X86" s="252"/>
      <c r="Y86" s="252"/>
      <c r="Z86" s="252"/>
    </row>
    <row r="87" spans="1:26" s="209" customFormat="1" ht="57">
      <c r="A87" s="251"/>
      <c r="B87" s="252"/>
      <c r="C87" s="252"/>
      <c r="D87" s="252"/>
      <c r="E87" s="253"/>
      <c r="F87" s="245"/>
      <c r="G87" s="227" t="s">
        <v>723</v>
      </c>
      <c r="H87" s="306">
        <v>43340</v>
      </c>
      <c r="I87" s="226"/>
      <c r="J87" s="226" t="s">
        <v>724</v>
      </c>
      <c r="K87" s="226" t="s">
        <v>724</v>
      </c>
      <c r="L87" s="314" t="s">
        <v>1009</v>
      </c>
      <c r="M87" s="314"/>
      <c r="N87" s="315"/>
      <c r="O87" s="448"/>
      <c r="P87" s="460"/>
      <c r="Q87" s="252"/>
      <c r="R87" s="252"/>
      <c r="S87" s="252"/>
      <c r="T87" s="252"/>
      <c r="U87" s="252"/>
      <c r="V87" s="252"/>
      <c r="W87" s="252"/>
      <c r="X87" s="252"/>
      <c r="Y87" s="252"/>
      <c r="Z87" s="252"/>
    </row>
    <row r="88" spans="1:26" s="209" customFormat="1">
      <c r="A88" s="251"/>
      <c r="B88" s="252"/>
      <c r="C88" s="252"/>
      <c r="D88" s="252"/>
      <c r="E88" s="253"/>
      <c r="F88" s="245"/>
      <c r="G88" s="227" t="s">
        <v>286</v>
      </c>
      <c r="H88" s="301">
        <v>43340</v>
      </c>
      <c r="I88" s="226"/>
      <c r="J88" s="226" t="s">
        <v>282</v>
      </c>
      <c r="K88" s="254"/>
      <c r="L88" s="314" t="s">
        <v>1009</v>
      </c>
      <c r="M88" s="314"/>
      <c r="N88" s="315"/>
      <c r="O88" s="448"/>
      <c r="P88" s="460"/>
      <c r="Q88" s="252"/>
      <c r="R88" s="252"/>
      <c r="S88" s="252"/>
      <c r="T88" s="252"/>
      <c r="U88" s="252"/>
      <c r="V88" s="252"/>
      <c r="W88" s="252"/>
      <c r="X88" s="252"/>
      <c r="Y88" s="252"/>
      <c r="Z88" s="252"/>
    </row>
    <row r="89" spans="1:26" s="209" customFormat="1" ht="45.6">
      <c r="A89" s="251"/>
      <c r="B89" s="252"/>
      <c r="C89" s="252"/>
      <c r="D89" s="252"/>
      <c r="E89" s="253"/>
      <c r="F89" s="245"/>
      <c r="G89" s="227" t="s">
        <v>725</v>
      </c>
      <c r="H89" s="306">
        <v>43340</v>
      </c>
      <c r="I89" s="226"/>
      <c r="J89" s="226" t="s">
        <v>726</v>
      </c>
      <c r="K89" s="226" t="s">
        <v>726</v>
      </c>
      <c r="L89" s="314" t="s">
        <v>1009</v>
      </c>
      <c r="M89" s="314"/>
      <c r="N89" s="315"/>
      <c r="O89" s="448"/>
      <c r="P89" s="460"/>
      <c r="Q89" s="252"/>
      <c r="R89" s="252"/>
      <c r="S89" s="252"/>
      <c r="T89" s="252"/>
      <c r="U89" s="252"/>
      <c r="V89" s="252"/>
      <c r="W89" s="252"/>
      <c r="X89" s="252"/>
      <c r="Y89" s="252"/>
      <c r="Z89" s="252"/>
    </row>
    <row r="90" spans="1:26" s="209" customFormat="1" ht="34.200000000000003">
      <c r="A90" s="251"/>
      <c r="B90" s="252"/>
      <c r="C90" s="252"/>
      <c r="D90" s="252"/>
      <c r="E90" s="253">
        <v>7</v>
      </c>
      <c r="F90" s="227" t="s">
        <v>727</v>
      </c>
      <c r="G90" s="227" t="s">
        <v>728</v>
      </c>
      <c r="H90" s="301">
        <v>43340</v>
      </c>
      <c r="I90" s="226"/>
      <c r="J90" s="226" t="s">
        <v>729</v>
      </c>
      <c r="K90" s="226"/>
      <c r="L90" s="314"/>
      <c r="M90" s="314" t="s">
        <v>1009</v>
      </c>
      <c r="N90" s="315"/>
      <c r="O90" s="448"/>
      <c r="P90" s="460"/>
      <c r="Q90" s="252"/>
      <c r="R90" s="252"/>
      <c r="S90" s="252"/>
      <c r="T90" s="252"/>
      <c r="U90" s="252"/>
      <c r="V90" s="252"/>
      <c r="W90" s="252"/>
      <c r="X90" s="252"/>
      <c r="Y90" s="252"/>
      <c r="Z90" s="252"/>
    </row>
    <row r="91" spans="1:26" s="209" customFormat="1" ht="45.6">
      <c r="A91" s="251"/>
      <c r="B91" s="252"/>
      <c r="C91" s="252"/>
      <c r="D91" s="252"/>
      <c r="E91" s="253"/>
      <c r="F91" s="245"/>
      <c r="G91" s="227" t="s">
        <v>730</v>
      </c>
      <c r="H91" s="306">
        <v>43340</v>
      </c>
      <c r="I91" s="226"/>
      <c r="J91" s="226" t="s">
        <v>1193</v>
      </c>
      <c r="K91" s="226" t="s">
        <v>1193</v>
      </c>
      <c r="L91" s="314" t="s">
        <v>1009</v>
      </c>
      <c r="M91" s="314"/>
      <c r="N91" s="315"/>
      <c r="O91" s="448"/>
      <c r="P91" s="460"/>
      <c r="Q91" s="252"/>
      <c r="R91" s="252"/>
      <c r="S91" s="252"/>
      <c r="T91" s="252"/>
      <c r="U91" s="252"/>
      <c r="V91" s="252"/>
      <c r="W91" s="252"/>
      <c r="X91" s="252"/>
      <c r="Y91" s="252"/>
      <c r="Z91" s="252"/>
    </row>
    <row r="92" spans="1:26" s="209" customFormat="1" ht="57">
      <c r="A92" s="251"/>
      <c r="B92" s="252"/>
      <c r="C92" s="252"/>
      <c r="D92" s="252"/>
      <c r="E92" s="253"/>
      <c r="F92" s="245"/>
      <c r="G92" s="227" t="s">
        <v>732</v>
      </c>
      <c r="H92" s="301">
        <v>43340</v>
      </c>
      <c r="I92" s="226"/>
      <c r="J92" s="226" t="s">
        <v>733</v>
      </c>
      <c r="K92" s="226" t="s">
        <v>733</v>
      </c>
      <c r="L92" s="314" t="s">
        <v>1009</v>
      </c>
      <c r="M92" s="314"/>
      <c r="N92" s="315"/>
      <c r="O92" s="448"/>
      <c r="P92" s="460"/>
      <c r="Q92" s="252"/>
      <c r="R92" s="252"/>
      <c r="S92" s="252"/>
      <c r="T92" s="252"/>
      <c r="U92" s="252"/>
      <c r="V92" s="252"/>
      <c r="W92" s="252"/>
      <c r="X92" s="252"/>
      <c r="Y92" s="252"/>
      <c r="Z92" s="252"/>
    </row>
    <row r="93" spans="1:26" s="209" customFormat="1" ht="68.400000000000006">
      <c r="A93" s="251"/>
      <c r="B93" s="252"/>
      <c r="C93" s="252"/>
      <c r="D93" s="252"/>
      <c r="E93" s="253"/>
      <c r="F93" s="245"/>
      <c r="G93" s="227" t="s">
        <v>734</v>
      </c>
      <c r="H93" s="306">
        <v>43340</v>
      </c>
      <c r="I93" s="226"/>
      <c r="J93" s="226" t="s">
        <v>690</v>
      </c>
      <c r="K93" s="226" t="s">
        <v>690</v>
      </c>
      <c r="L93" s="314" t="s">
        <v>1009</v>
      </c>
      <c r="M93" s="314"/>
      <c r="N93" s="315"/>
      <c r="O93" s="448"/>
      <c r="P93" s="460"/>
      <c r="Q93" s="252"/>
      <c r="R93" s="252"/>
      <c r="S93" s="252"/>
      <c r="T93" s="252"/>
      <c r="U93" s="252"/>
      <c r="V93" s="252"/>
      <c r="W93" s="252"/>
      <c r="X93" s="252"/>
      <c r="Y93" s="252"/>
      <c r="Z93" s="252"/>
    </row>
    <row r="94" spans="1:26" s="209" customFormat="1" ht="68.400000000000006">
      <c r="A94" s="251"/>
      <c r="B94" s="252"/>
      <c r="C94" s="252"/>
      <c r="D94" s="252"/>
      <c r="E94" s="253"/>
      <c r="F94" s="245"/>
      <c r="G94" s="227" t="s">
        <v>735</v>
      </c>
      <c r="H94" s="301">
        <v>43340</v>
      </c>
      <c r="I94" s="226"/>
      <c r="J94" s="226" t="s">
        <v>690</v>
      </c>
      <c r="K94" s="226" t="s">
        <v>690</v>
      </c>
      <c r="L94" s="314" t="s">
        <v>1009</v>
      </c>
      <c r="M94" s="314"/>
      <c r="N94" s="315"/>
      <c r="O94" s="448"/>
      <c r="P94" s="460"/>
      <c r="Q94" s="252"/>
      <c r="R94" s="252"/>
      <c r="S94" s="252"/>
      <c r="T94" s="252"/>
      <c r="U94" s="252"/>
      <c r="V94" s="252"/>
      <c r="W94" s="252"/>
      <c r="X94" s="252"/>
      <c r="Y94" s="252"/>
      <c r="Z94" s="252"/>
    </row>
    <row r="95" spans="1:26" s="209" customFormat="1" ht="68.400000000000006">
      <c r="A95" s="251"/>
      <c r="B95" s="252"/>
      <c r="C95" s="252"/>
      <c r="D95" s="252"/>
      <c r="E95" s="253"/>
      <c r="F95" s="245"/>
      <c r="G95" s="227" t="s">
        <v>736</v>
      </c>
      <c r="H95" s="306">
        <v>43340</v>
      </c>
      <c r="I95" s="226"/>
      <c r="J95" s="226" t="s">
        <v>690</v>
      </c>
      <c r="K95" s="226" t="s">
        <v>690</v>
      </c>
      <c r="L95" s="314" t="s">
        <v>1009</v>
      </c>
      <c r="M95" s="314"/>
      <c r="N95" s="315"/>
      <c r="O95" s="448"/>
      <c r="P95" s="460"/>
      <c r="Q95" s="252"/>
      <c r="R95" s="252"/>
      <c r="S95" s="252"/>
      <c r="T95" s="252"/>
      <c r="U95" s="252"/>
      <c r="V95" s="252"/>
      <c r="W95" s="252"/>
      <c r="X95" s="252"/>
      <c r="Y95" s="252"/>
      <c r="Z95" s="252"/>
    </row>
    <row r="96" spans="1:26" s="209" customFormat="1" ht="68.400000000000006">
      <c r="A96" s="251"/>
      <c r="B96" s="252"/>
      <c r="C96" s="252"/>
      <c r="D96" s="252"/>
      <c r="E96" s="253"/>
      <c r="F96" s="245"/>
      <c r="G96" s="227" t="s">
        <v>737</v>
      </c>
      <c r="H96" s="301">
        <v>43340</v>
      </c>
      <c r="I96" s="226"/>
      <c r="J96" s="226" t="s">
        <v>690</v>
      </c>
      <c r="K96" s="226" t="s">
        <v>690</v>
      </c>
      <c r="L96" s="314" t="s">
        <v>1009</v>
      </c>
      <c r="M96" s="314"/>
      <c r="N96" s="315"/>
      <c r="O96" s="448"/>
      <c r="P96" s="460"/>
      <c r="Q96" s="252"/>
      <c r="R96" s="252"/>
      <c r="S96" s="252"/>
      <c r="T96" s="252"/>
      <c r="U96" s="252"/>
      <c r="V96" s="252"/>
      <c r="W96" s="252"/>
      <c r="X96" s="252"/>
      <c r="Y96" s="252"/>
      <c r="Z96" s="252"/>
    </row>
    <row r="97" spans="1:26" s="209" customFormat="1" ht="68.400000000000006">
      <c r="A97" s="251"/>
      <c r="B97" s="252"/>
      <c r="C97" s="252"/>
      <c r="D97" s="252"/>
      <c r="E97" s="253"/>
      <c r="F97" s="245"/>
      <c r="G97" s="227" t="s">
        <v>738</v>
      </c>
      <c r="H97" s="306">
        <v>43340</v>
      </c>
      <c r="I97" s="226"/>
      <c r="J97" s="226" t="s">
        <v>1194</v>
      </c>
      <c r="K97" s="226" t="s">
        <v>1194</v>
      </c>
      <c r="L97" s="314" t="s">
        <v>1009</v>
      </c>
      <c r="M97" s="314"/>
      <c r="N97" s="315"/>
      <c r="O97" s="448"/>
      <c r="P97" s="460"/>
      <c r="Q97" s="252"/>
      <c r="R97" s="252"/>
      <c r="S97" s="252"/>
      <c r="T97" s="252"/>
      <c r="U97" s="252"/>
      <c r="V97" s="252"/>
      <c r="W97" s="252"/>
      <c r="X97" s="252"/>
      <c r="Y97" s="252"/>
      <c r="Z97" s="252"/>
    </row>
    <row r="98" spans="1:26" s="209" customFormat="1" ht="68.400000000000006">
      <c r="A98" s="251"/>
      <c r="B98" s="252"/>
      <c r="C98" s="252"/>
      <c r="D98" s="252"/>
      <c r="E98" s="253"/>
      <c r="F98" s="245"/>
      <c r="G98" s="227" t="s">
        <v>739</v>
      </c>
      <c r="H98" s="301">
        <v>43340</v>
      </c>
      <c r="I98" s="226"/>
      <c r="J98" s="226" t="s">
        <v>1195</v>
      </c>
      <c r="K98" s="226" t="s">
        <v>1195</v>
      </c>
      <c r="L98" s="314" t="s">
        <v>1009</v>
      </c>
      <c r="M98" s="314"/>
      <c r="N98" s="315"/>
      <c r="O98" s="448"/>
      <c r="P98" s="460"/>
      <c r="Q98" s="252"/>
      <c r="R98" s="252"/>
      <c r="S98" s="252"/>
      <c r="T98" s="252"/>
      <c r="U98" s="252"/>
      <c r="V98" s="252"/>
      <c r="W98" s="252"/>
      <c r="X98" s="252"/>
      <c r="Y98" s="252"/>
      <c r="Z98" s="252"/>
    </row>
    <row r="99" spans="1:26" s="209" customFormat="1" ht="68.400000000000006">
      <c r="A99" s="251"/>
      <c r="B99" s="252"/>
      <c r="C99" s="252"/>
      <c r="D99" s="252"/>
      <c r="E99" s="253"/>
      <c r="F99" s="245"/>
      <c r="G99" s="227" t="s">
        <v>740</v>
      </c>
      <c r="H99" s="306">
        <v>43340</v>
      </c>
      <c r="I99" s="226"/>
      <c r="J99" s="226" t="s">
        <v>1196</v>
      </c>
      <c r="K99" s="226" t="s">
        <v>1196</v>
      </c>
      <c r="L99" s="314" t="s">
        <v>1009</v>
      </c>
      <c r="M99" s="314"/>
      <c r="N99" s="315"/>
      <c r="O99" s="448"/>
      <c r="P99" s="460"/>
      <c r="Q99" s="252"/>
      <c r="R99" s="252"/>
      <c r="S99" s="252"/>
      <c r="T99" s="252"/>
      <c r="U99" s="252"/>
      <c r="V99" s="252"/>
      <c r="W99" s="252"/>
      <c r="X99" s="252"/>
      <c r="Y99" s="252"/>
      <c r="Z99" s="252"/>
    </row>
    <row r="100" spans="1:26" s="209" customFormat="1" ht="68.400000000000006">
      <c r="A100" s="251"/>
      <c r="B100" s="252"/>
      <c r="C100" s="252"/>
      <c r="D100" s="252"/>
      <c r="E100" s="253"/>
      <c r="F100" s="245"/>
      <c r="G100" s="227" t="s">
        <v>741</v>
      </c>
      <c r="H100" s="301">
        <v>43340</v>
      </c>
      <c r="I100" s="226"/>
      <c r="J100" s="226" t="s">
        <v>701</v>
      </c>
      <c r="K100" s="226" t="s">
        <v>701</v>
      </c>
      <c r="L100" s="314" t="s">
        <v>1009</v>
      </c>
      <c r="M100" s="314"/>
      <c r="N100" s="315"/>
      <c r="O100" s="448"/>
      <c r="P100" s="460"/>
      <c r="Q100" s="252"/>
      <c r="R100" s="252"/>
      <c r="S100" s="252"/>
      <c r="T100" s="252"/>
      <c r="U100" s="252"/>
      <c r="V100" s="252"/>
      <c r="W100" s="252"/>
      <c r="X100" s="252"/>
      <c r="Y100" s="252"/>
      <c r="Z100" s="252"/>
    </row>
    <row r="101" spans="1:26" s="209" customFormat="1" ht="68.400000000000006">
      <c r="A101" s="251"/>
      <c r="B101" s="252"/>
      <c r="C101" s="252"/>
      <c r="D101" s="252"/>
      <c r="E101" s="253"/>
      <c r="F101" s="245"/>
      <c r="G101" s="227" t="s">
        <v>742</v>
      </c>
      <c r="H101" s="306">
        <v>43340</v>
      </c>
      <c r="I101" s="226"/>
      <c r="J101" s="226" t="s">
        <v>1197</v>
      </c>
      <c r="K101" s="226" t="s">
        <v>1197</v>
      </c>
      <c r="L101" s="314" t="s">
        <v>1009</v>
      </c>
      <c r="M101" s="314"/>
      <c r="N101" s="315"/>
      <c r="O101" s="448"/>
      <c r="P101" s="460"/>
      <c r="Q101" s="252"/>
      <c r="R101" s="252"/>
      <c r="S101" s="252"/>
      <c r="T101" s="252"/>
      <c r="U101" s="252"/>
      <c r="V101" s="252"/>
      <c r="W101" s="252"/>
      <c r="X101" s="252"/>
      <c r="Y101" s="252"/>
      <c r="Z101" s="252"/>
    </row>
    <row r="102" spans="1:26" s="209" customFormat="1" ht="68.400000000000006">
      <c r="A102" s="251"/>
      <c r="B102" s="252"/>
      <c r="C102" s="252"/>
      <c r="D102" s="252"/>
      <c r="E102" s="253"/>
      <c r="F102" s="245"/>
      <c r="G102" s="227" t="s">
        <v>743</v>
      </c>
      <c r="H102" s="301">
        <v>43340</v>
      </c>
      <c r="I102" s="226"/>
      <c r="J102" s="226" t="s">
        <v>1198</v>
      </c>
      <c r="K102" s="226" t="s">
        <v>1198</v>
      </c>
      <c r="L102" s="314" t="s">
        <v>1009</v>
      </c>
      <c r="M102" s="314"/>
      <c r="N102" s="315"/>
      <c r="O102" s="448"/>
      <c r="P102" s="460"/>
      <c r="Q102" s="252"/>
      <c r="R102" s="252"/>
      <c r="S102" s="252"/>
      <c r="T102" s="252"/>
      <c r="U102" s="252"/>
      <c r="V102" s="252"/>
      <c r="W102" s="252"/>
      <c r="X102" s="252"/>
      <c r="Y102" s="252"/>
      <c r="Z102" s="252"/>
    </row>
    <row r="103" spans="1:26" s="209" customFormat="1" ht="68.400000000000006">
      <c r="A103" s="251"/>
      <c r="B103" s="252"/>
      <c r="C103" s="252"/>
      <c r="D103" s="252"/>
      <c r="E103" s="253"/>
      <c r="F103" s="245"/>
      <c r="G103" s="227" t="s">
        <v>744</v>
      </c>
      <c r="H103" s="306">
        <v>43340</v>
      </c>
      <c r="I103" s="226"/>
      <c r="J103" s="226" t="s">
        <v>1198</v>
      </c>
      <c r="K103" s="226" t="s">
        <v>1198</v>
      </c>
      <c r="L103" s="314" t="s">
        <v>1009</v>
      </c>
      <c r="M103" s="314"/>
      <c r="N103" s="315"/>
      <c r="O103" s="448"/>
      <c r="P103" s="460"/>
      <c r="Q103" s="252"/>
      <c r="R103" s="252"/>
      <c r="S103" s="252"/>
      <c r="T103" s="252"/>
      <c r="U103" s="252"/>
      <c r="V103" s="252"/>
      <c r="W103" s="252"/>
      <c r="X103" s="252"/>
      <c r="Y103" s="252"/>
      <c r="Z103" s="252"/>
    </row>
    <row r="104" spans="1:26" s="209" customFormat="1" ht="68.400000000000006">
      <c r="A104" s="251"/>
      <c r="B104" s="252"/>
      <c r="C104" s="252"/>
      <c r="D104" s="252"/>
      <c r="E104" s="253"/>
      <c r="F104" s="245"/>
      <c r="G104" s="227" t="s">
        <v>745</v>
      </c>
      <c r="H104" s="301">
        <v>43340</v>
      </c>
      <c r="I104" s="226"/>
      <c r="J104" s="226" t="s">
        <v>1197</v>
      </c>
      <c r="K104" s="226" t="s">
        <v>1197</v>
      </c>
      <c r="L104" s="314" t="s">
        <v>1009</v>
      </c>
      <c r="M104" s="314"/>
      <c r="N104" s="315"/>
      <c r="O104" s="448"/>
      <c r="P104" s="460"/>
      <c r="Q104" s="252"/>
      <c r="R104" s="252"/>
      <c r="S104" s="252"/>
      <c r="T104" s="252"/>
      <c r="U104" s="252"/>
      <c r="V104" s="252"/>
      <c r="W104" s="252"/>
      <c r="X104" s="252"/>
      <c r="Y104" s="252"/>
      <c r="Z104" s="252"/>
    </row>
    <row r="105" spans="1:26" s="209" customFormat="1" ht="68.400000000000006">
      <c r="A105" s="251"/>
      <c r="B105" s="252"/>
      <c r="C105" s="252"/>
      <c r="D105" s="252"/>
      <c r="E105" s="253"/>
      <c r="F105" s="245"/>
      <c r="G105" s="227" t="s">
        <v>746</v>
      </c>
      <c r="H105" s="306">
        <v>43340</v>
      </c>
      <c r="I105" s="226"/>
      <c r="J105" s="226" t="s">
        <v>1199</v>
      </c>
      <c r="K105" s="226" t="s">
        <v>1199</v>
      </c>
      <c r="L105" s="314" t="s">
        <v>1009</v>
      </c>
      <c r="M105" s="314"/>
      <c r="N105" s="315"/>
      <c r="O105" s="448"/>
      <c r="P105" s="460"/>
      <c r="Q105" s="252"/>
      <c r="R105" s="252"/>
      <c r="S105" s="252"/>
      <c r="T105" s="252"/>
      <c r="U105" s="252"/>
      <c r="V105" s="252"/>
      <c r="W105" s="252"/>
      <c r="X105" s="252"/>
      <c r="Y105" s="252"/>
      <c r="Z105" s="252"/>
    </row>
    <row r="106" spans="1:26" s="209" customFormat="1" ht="68.400000000000006">
      <c r="A106" s="251"/>
      <c r="B106" s="252"/>
      <c r="C106" s="252"/>
      <c r="D106" s="252"/>
      <c r="E106" s="253"/>
      <c r="F106" s="245"/>
      <c r="G106" s="227" t="s">
        <v>747</v>
      </c>
      <c r="H106" s="301">
        <v>43340</v>
      </c>
      <c r="I106" s="226"/>
      <c r="J106" s="226" t="s">
        <v>1200</v>
      </c>
      <c r="K106" s="226" t="s">
        <v>1200</v>
      </c>
      <c r="L106" s="314" t="s">
        <v>1009</v>
      </c>
      <c r="M106" s="314"/>
      <c r="N106" s="315"/>
      <c r="O106" s="448"/>
      <c r="P106" s="460"/>
      <c r="Q106" s="252"/>
      <c r="R106" s="252"/>
      <c r="S106" s="252"/>
      <c r="T106" s="252"/>
      <c r="U106" s="252"/>
      <c r="V106" s="252"/>
      <c r="W106" s="252"/>
      <c r="X106" s="252"/>
      <c r="Y106" s="252"/>
      <c r="Z106" s="252"/>
    </row>
    <row r="107" spans="1:26" s="209" customFormat="1" ht="68.400000000000006">
      <c r="A107" s="251"/>
      <c r="B107" s="252"/>
      <c r="C107" s="252"/>
      <c r="D107" s="252"/>
      <c r="E107" s="253"/>
      <c r="F107" s="245"/>
      <c r="G107" s="227" t="s">
        <v>748</v>
      </c>
      <c r="H107" s="306">
        <v>43340</v>
      </c>
      <c r="I107" s="226"/>
      <c r="J107" s="226" t="s">
        <v>1200</v>
      </c>
      <c r="K107" s="226" t="s">
        <v>1200</v>
      </c>
      <c r="L107" s="314" t="s">
        <v>1009</v>
      </c>
      <c r="M107" s="314"/>
      <c r="N107" s="315"/>
      <c r="O107" s="448"/>
      <c r="P107" s="460"/>
      <c r="Q107" s="252"/>
      <c r="R107" s="252"/>
      <c r="S107" s="252"/>
      <c r="T107" s="252"/>
      <c r="U107" s="252"/>
      <c r="V107" s="252"/>
      <c r="W107" s="252"/>
      <c r="X107" s="252"/>
      <c r="Y107" s="252"/>
      <c r="Z107" s="252"/>
    </row>
    <row r="108" spans="1:26" s="209" customFormat="1" ht="68.400000000000006">
      <c r="A108" s="251"/>
      <c r="B108" s="252"/>
      <c r="C108" s="252"/>
      <c r="D108" s="252"/>
      <c r="E108" s="253"/>
      <c r="F108" s="245"/>
      <c r="G108" s="227" t="s">
        <v>749</v>
      </c>
      <c r="H108" s="301">
        <v>43340</v>
      </c>
      <c r="I108" s="226"/>
      <c r="J108" s="226" t="s">
        <v>714</v>
      </c>
      <c r="K108" s="226" t="s">
        <v>714</v>
      </c>
      <c r="L108" s="314" t="s">
        <v>1009</v>
      </c>
      <c r="M108" s="314"/>
      <c r="N108" s="315"/>
      <c r="O108" s="448"/>
      <c r="P108" s="460"/>
      <c r="Q108" s="252"/>
      <c r="R108" s="252"/>
      <c r="S108" s="252"/>
      <c r="T108" s="252"/>
      <c r="U108" s="252"/>
      <c r="V108" s="252"/>
      <c r="W108" s="252"/>
      <c r="X108" s="252"/>
      <c r="Y108" s="252"/>
      <c r="Z108" s="252"/>
    </row>
    <row r="109" spans="1:26" s="209" customFormat="1" ht="79.8">
      <c r="A109" s="251"/>
      <c r="B109" s="252"/>
      <c r="C109" s="252"/>
      <c r="D109" s="252"/>
      <c r="E109" s="253"/>
      <c r="F109" s="245"/>
      <c r="G109" s="227" t="s">
        <v>750</v>
      </c>
      <c r="H109" s="306">
        <v>43340</v>
      </c>
      <c r="I109" s="226"/>
      <c r="J109" s="226" t="s">
        <v>1201</v>
      </c>
      <c r="K109" s="226" t="s">
        <v>1201</v>
      </c>
      <c r="L109" s="314" t="s">
        <v>1009</v>
      </c>
      <c r="M109" s="314"/>
      <c r="N109" s="315"/>
      <c r="O109" s="448"/>
      <c r="P109" s="460"/>
      <c r="Q109" s="252"/>
      <c r="R109" s="252"/>
      <c r="S109" s="252"/>
      <c r="T109" s="252"/>
      <c r="U109" s="252"/>
      <c r="V109" s="252"/>
      <c r="W109" s="252"/>
      <c r="X109" s="252"/>
      <c r="Y109" s="252"/>
      <c r="Z109" s="252"/>
    </row>
    <row r="110" spans="1:26" s="209" customFormat="1" ht="68.400000000000006">
      <c r="A110" s="251"/>
      <c r="B110" s="252"/>
      <c r="C110" s="252"/>
      <c r="D110" s="252"/>
      <c r="E110" s="253"/>
      <c r="F110" s="245"/>
      <c r="G110" s="227" t="s">
        <v>751</v>
      </c>
      <c r="H110" s="301">
        <v>43340</v>
      </c>
      <c r="I110" s="226"/>
      <c r="J110" s="226" t="s">
        <v>1202</v>
      </c>
      <c r="K110" s="226" t="s">
        <v>1202</v>
      </c>
      <c r="L110" s="314" t="s">
        <v>1009</v>
      </c>
      <c r="M110" s="314"/>
      <c r="N110" s="315"/>
      <c r="O110" s="448"/>
      <c r="P110" s="460"/>
      <c r="Q110" s="252"/>
      <c r="R110" s="252"/>
      <c r="S110" s="252"/>
      <c r="T110" s="252"/>
      <c r="U110" s="252"/>
      <c r="V110" s="252"/>
      <c r="W110" s="252"/>
      <c r="X110" s="252"/>
      <c r="Y110" s="252"/>
      <c r="Z110" s="252"/>
    </row>
    <row r="111" spans="1:26" s="209" customFormat="1" ht="68.400000000000006">
      <c r="A111" s="251"/>
      <c r="B111" s="252"/>
      <c r="C111" s="252"/>
      <c r="D111" s="252"/>
      <c r="E111" s="253"/>
      <c r="F111" s="245"/>
      <c r="G111" s="227" t="s">
        <v>752</v>
      </c>
      <c r="H111" s="306">
        <v>43340</v>
      </c>
      <c r="I111" s="226"/>
      <c r="J111" s="226" t="s">
        <v>1200</v>
      </c>
      <c r="K111" s="226" t="s">
        <v>1200</v>
      </c>
      <c r="L111" s="314" t="s">
        <v>1009</v>
      </c>
      <c r="M111" s="314"/>
      <c r="N111" s="315"/>
      <c r="O111" s="448"/>
      <c r="P111" s="460"/>
      <c r="Q111" s="252"/>
      <c r="R111" s="252"/>
      <c r="S111" s="252"/>
      <c r="T111" s="252"/>
      <c r="U111" s="252"/>
      <c r="V111" s="252"/>
      <c r="W111" s="252"/>
      <c r="X111" s="252"/>
      <c r="Y111" s="252"/>
      <c r="Z111" s="252"/>
    </row>
    <row r="112" spans="1:26" s="209" customFormat="1" ht="68.400000000000006">
      <c r="A112" s="251"/>
      <c r="B112" s="252"/>
      <c r="C112" s="252"/>
      <c r="D112" s="252"/>
      <c r="E112" s="253"/>
      <c r="F112" s="245"/>
      <c r="G112" s="227" t="s">
        <v>753</v>
      </c>
      <c r="H112" s="301">
        <v>43340</v>
      </c>
      <c r="I112" s="226"/>
      <c r="J112" s="226" t="s">
        <v>1203</v>
      </c>
      <c r="K112" s="226" t="s">
        <v>1203</v>
      </c>
      <c r="L112" s="314" t="s">
        <v>1009</v>
      </c>
      <c r="M112" s="314"/>
      <c r="N112" s="315"/>
      <c r="O112" s="448"/>
      <c r="P112" s="460"/>
      <c r="Q112" s="252"/>
      <c r="R112" s="252"/>
      <c r="S112" s="252"/>
      <c r="T112" s="252"/>
      <c r="U112" s="252"/>
      <c r="V112" s="252"/>
      <c r="W112" s="252"/>
      <c r="X112" s="252"/>
      <c r="Y112" s="252"/>
      <c r="Z112" s="252"/>
    </row>
    <row r="113" spans="1:26" s="209" customFormat="1" ht="68.400000000000006">
      <c r="A113" s="251"/>
      <c r="B113" s="252"/>
      <c r="C113" s="252"/>
      <c r="D113" s="252"/>
      <c r="E113" s="253"/>
      <c r="F113" s="245"/>
      <c r="G113" s="227" t="s">
        <v>754</v>
      </c>
      <c r="H113" s="306">
        <v>43340</v>
      </c>
      <c r="I113" s="226"/>
      <c r="J113" s="226" t="s">
        <v>333</v>
      </c>
      <c r="K113" s="226" t="s">
        <v>333</v>
      </c>
      <c r="L113" s="314" t="s">
        <v>1009</v>
      </c>
      <c r="M113" s="314"/>
      <c r="N113" s="315"/>
      <c r="O113" s="448"/>
      <c r="P113" s="460"/>
      <c r="Q113" s="252"/>
      <c r="R113" s="252"/>
      <c r="S113" s="252"/>
      <c r="T113" s="252"/>
      <c r="U113" s="252"/>
      <c r="V113" s="252"/>
      <c r="W113" s="252"/>
      <c r="X113" s="252"/>
      <c r="Y113" s="252"/>
      <c r="Z113" s="252"/>
    </row>
    <row r="114" spans="1:26" s="209" customFormat="1" ht="15.75" customHeight="1">
      <c r="A114" s="251"/>
      <c r="B114" s="252"/>
      <c r="C114" s="252"/>
      <c r="D114" s="252"/>
      <c r="E114" s="253"/>
      <c r="F114" s="245"/>
      <c r="G114" s="227" t="s">
        <v>286</v>
      </c>
      <c r="H114" s="301">
        <v>43340</v>
      </c>
      <c r="I114" s="226"/>
      <c r="J114" s="226" t="s">
        <v>282</v>
      </c>
      <c r="K114" s="254"/>
      <c r="L114" s="314" t="s">
        <v>1009</v>
      </c>
      <c r="M114" s="314"/>
      <c r="N114" s="315"/>
      <c r="O114" s="448"/>
      <c r="P114" s="460"/>
      <c r="Q114" s="252"/>
      <c r="R114" s="252"/>
      <c r="S114" s="252"/>
      <c r="T114" s="252"/>
      <c r="U114" s="252"/>
      <c r="V114" s="252"/>
      <c r="W114" s="252"/>
      <c r="X114" s="252"/>
      <c r="Y114" s="252"/>
      <c r="Z114" s="252"/>
    </row>
    <row r="115" spans="1:26" s="209" customFormat="1" ht="79.8">
      <c r="A115" s="251"/>
      <c r="B115" s="252"/>
      <c r="C115" s="252"/>
      <c r="D115" s="252"/>
      <c r="E115" s="253"/>
      <c r="F115" s="245"/>
      <c r="G115" s="227" t="s">
        <v>755</v>
      </c>
      <c r="H115" s="306">
        <v>43340</v>
      </c>
      <c r="I115" s="226"/>
      <c r="J115" s="226" t="s">
        <v>288</v>
      </c>
      <c r="K115" s="226" t="s">
        <v>288</v>
      </c>
      <c r="L115" s="314"/>
      <c r="M115" s="314" t="s">
        <v>1009</v>
      </c>
      <c r="N115" s="315"/>
      <c r="O115" s="448"/>
      <c r="P115" s="460"/>
      <c r="Q115" s="252"/>
      <c r="R115" s="252"/>
      <c r="S115" s="252"/>
      <c r="T115" s="252"/>
      <c r="U115" s="252"/>
      <c r="V115" s="252"/>
      <c r="W115" s="252"/>
      <c r="X115" s="252"/>
      <c r="Y115" s="252"/>
      <c r="Z115" s="252"/>
    </row>
    <row r="116" spans="1:26" s="209" customFormat="1" ht="34.200000000000003">
      <c r="A116" s="251"/>
      <c r="B116" s="252"/>
      <c r="C116" s="252"/>
      <c r="D116" s="252"/>
      <c r="E116" s="253"/>
      <c r="F116" s="245"/>
      <c r="G116" s="227" t="s">
        <v>289</v>
      </c>
      <c r="H116" s="301">
        <v>43340</v>
      </c>
      <c r="I116" s="226"/>
      <c r="J116" s="226" t="s">
        <v>282</v>
      </c>
      <c r="K116" s="254"/>
      <c r="L116" s="314"/>
      <c r="M116" s="314" t="s">
        <v>1009</v>
      </c>
      <c r="N116" s="315"/>
      <c r="O116" s="448"/>
      <c r="P116" s="460"/>
      <c r="Q116" s="252"/>
      <c r="R116" s="252"/>
      <c r="S116" s="252"/>
      <c r="T116" s="252"/>
      <c r="U116" s="252"/>
      <c r="V116" s="252"/>
      <c r="W116" s="252"/>
      <c r="X116" s="252"/>
      <c r="Y116" s="252"/>
      <c r="Z116" s="252"/>
    </row>
    <row r="117" spans="1:26" s="209" customFormat="1" ht="34.200000000000003">
      <c r="A117" s="251"/>
      <c r="B117" s="252"/>
      <c r="C117" s="252"/>
      <c r="D117" s="252"/>
      <c r="E117" s="343"/>
      <c r="F117" s="344"/>
      <c r="G117" s="308" t="s">
        <v>290</v>
      </c>
      <c r="H117" s="309">
        <v>43327</v>
      </c>
      <c r="I117" s="310"/>
      <c r="J117" s="310" t="s">
        <v>663</v>
      </c>
      <c r="K117" s="310" t="s">
        <v>1213</v>
      </c>
      <c r="L117" s="345"/>
      <c r="M117" s="345" t="s">
        <v>1009</v>
      </c>
      <c r="N117" s="346"/>
      <c r="O117" s="454"/>
      <c r="P117" s="460"/>
      <c r="Q117" s="252"/>
      <c r="R117" s="252"/>
      <c r="S117" s="252"/>
      <c r="T117" s="252"/>
      <c r="U117" s="252"/>
      <c r="V117" s="252"/>
      <c r="W117" s="252"/>
      <c r="X117" s="252"/>
      <c r="Y117" s="252"/>
      <c r="Z117" s="252"/>
    </row>
    <row r="118" spans="1:26" s="209" customFormat="1" ht="22.8">
      <c r="A118" s="251"/>
      <c r="B118" s="252"/>
      <c r="C118" s="252"/>
      <c r="D118" s="252"/>
      <c r="E118" s="253"/>
      <c r="F118" s="245"/>
      <c r="G118" s="227" t="s">
        <v>1013</v>
      </c>
      <c r="H118" s="301">
        <v>43340</v>
      </c>
      <c r="I118" s="226"/>
      <c r="J118" s="226" t="s">
        <v>282</v>
      </c>
      <c r="K118" s="254"/>
      <c r="L118" s="314"/>
      <c r="M118" s="314"/>
      <c r="N118" s="315" t="s">
        <v>1009</v>
      </c>
      <c r="O118" s="448"/>
      <c r="P118" s="460"/>
      <c r="Q118" s="252"/>
      <c r="R118" s="252"/>
      <c r="S118" s="252"/>
      <c r="T118" s="252"/>
      <c r="U118" s="252"/>
      <c r="V118" s="252"/>
      <c r="W118" s="252"/>
      <c r="X118" s="252"/>
      <c r="Y118" s="252"/>
      <c r="Z118" s="252"/>
    </row>
    <row r="119" spans="1:26" s="209" customFormat="1" ht="91.2">
      <c r="A119" s="251"/>
      <c r="B119" s="252"/>
      <c r="C119" s="252"/>
      <c r="D119" s="252"/>
      <c r="E119" s="253"/>
      <c r="F119" s="245"/>
      <c r="G119" s="227" t="s">
        <v>757</v>
      </c>
      <c r="H119" s="306">
        <v>43340</v>
      </c>
      <c r="I119" s="226"/>
      <c r="J119" s="226" t="s">
        <v>1204</v>
      </c>
      <c r="K119" s="226" t="s">
        <v>1204</v>
      </c>
      <c r="L119" s="314" t="s">
        <v>1009</v>
      </c>
      <c r="M119" s="314"/>
      <c r="N119" s="315"/>
      <c r="O119" s="448"/>
      <c r="P119" s="460"/>
      <c r="Q119" s="252"/>
      <c r="R119" s="252"/>
      <c r="S119" s="252"/>
      <c r="T119" s="252"/>
      <c r="U119" s="252"/>
      <c r="V119" s="252"/>
      <c r="W119" s="252"/>
      <c r="X119" s="252"/>
      <c r="Y119" s="252"/>
      <c r="Z119" s="252"/>
    </row>
    <row r="120" spans="1:26" s="209" customFormat="1" ht="79.8">
      <c r="A120" s="251"/>
      <c r="B120" s="252"/>
      <c r="C120" s="252"/>
      <c r="D120" s="252"/>
      <c r="E120" s="253"/>
      <c r="F120" s="245"/>
      <c r="G120" s="227" t="s">
        <v>758</v>
      </c>
      <c r="H120" s="301">
        <v>43340</v>
      </c>
      <c r="I120" s="226"/>
      <c r="J120" s="226" t="s">
        <v>726</v>
      </c>
      <c r="K120" s="226" t="s">
        <v>726</v>
      </c>
      <c r="L120" s="314" t="s">
        <v>1009</v>
      </c>
      <c r="M120" s="314"/>
      <c r="N120" s="315"/>
      <c r="O120" s="448"/>
      <c r="P120" s="460"/>
      <c r="Q120" s="252"/>
      <c r="R120" s="252"/>
      <c r="S120" s="252"/>
      <c r="T120" s="252"/>
      <c r="U120" s="252"/>
      <c r="V120" s="252"/>
      <c r="W120" s="252"/>
      <c r="X120" s="252"/>
      <c r="Y120" s="252"/>
      <c r="Z120" s="252"/>
    </row>
    <row r="121" spans="1:26" s="209" customFormat="1" ht="34.200000000000003">
      <c r="A121" s="251"/>
      <c r="B121" s="252"/>
      <c r="C121" s="252"/>
      <c r="D121" s="252"/>
      <c r="E121" s="253">
        <v>8</v>
      </c>
      <c r="F121" s="224" t="s">
        <v>759</v>
      </c>
      <c r="G121" s="224" t="s">
        <v>728</v>
      </c>
      <c r="H121" s="306">
        <v>43340</v>
      </c>
      <c r="I121" s="224"/>
      <c r="J121" s="226" t="s">
        <v>1205</v>
      </c>
      <c r="K121" s="226" t="s">
        <v>1205</v>
      </c>
      <c r="L121" s="314" t="s">
        <v>1009</v>
      </c>
      <c r="M121" s="314"/>
      <c r="N121" s="315"/>
      <c r="O121" s="448"/>
      <c r="P121" s="460"/>
      <c r="Q121" s="252"/>
      <c r="R121" s="252"/>
      <c r="S121" s="252"/>
      <c r="T121" s="252"/>
      <c r="U121" s="252"/>
      <c r="V121" s="252"/>
      <c r="W121" s="252"/>
      <c r="X121" s="252"/>
      <c r="Y121" s="252"/>
      <c r="Z121" s="252"/>
    </row>
    <row r="122" spans="1:26" s="209" customFormat="1" ht="45.6">
      <c r="A122" s="251"/>
      <c r="B122" s="252"/>
      <c r="C122" s="252"/>
      <c r="D122" s="252"/>
      <c r="E122" s="253"/>
      <c r="F122" s="228"/>
      <c r="G122" s="224" t="s">
        <v>760</v>
      </c>
      <c r="H122" s="301">
        <v>43340</v>
      </c>
      <c r="I122" s="260"/>
      <c r="J122" s="226" t="s">
        <v>1206</v>
      </c>
      <c r="K122" s="226" t="s">
        <v>1206</v>
      </c>
      <c r="L122" s="314" t="s">
        <v>1009</v>
      </c>
      <c r="M122" s="314"/>
      <c r="N122" s="315"/>
      <c r="O122" s="448"/>
      <c r="P122" s="460"/>
      <c r="Q122" s="252"/>
      <c r="R122" s="252"/>
      <c r="S122" s="252"/>
      <c r="T122" s="252"/>
      <c r="U122" s="252"/>
      <c r="V122" s="252"/>
      <c r="W122" s="252"/>
      <c r="X122" s="252"/>
      <c r="Y122" s="252"/>
      <c r="Z122" s="252"/>
    </row>
    <row r="123" spans="1:26" s="209" customFormat="1" ht="57">
      <c r="A123" s="251"/>
      <c r="B123" s="252"/>
      <c r="C123" s="252"/>
      <c r="D123" s="252"/>
      <c r="E123" s="253"/>
      <c r="F123" s="228"/>
      <c r="G123" s="224" t="s">
        <v>761</v>
      </c>
      <c r="H123" s="306">
        <v>43340</v>
      </c>
      <c r="I123" s="260"/>
      <c r="J123" s="226" t="s">
        <v>762</v>
      </c>
      <c r="K123" s="226" t="s">
        <v>762</v>
      </c>
      <c r="L123" s="314" t="s">
        <v>1009</v>
      </c>
      <c r="M123" s="314"/>
      <c r="N123" s="315"/>
      <c r="O123" s="448"/>
      <c r="P123" s="460"/>
      <c r="Q123" s="252"/>
      <c r="R123" s="252"/>
      <c r="S123" s="252"/>
      <c r="T123" s="252"/>
      <c r="U123" s="252"/>
      <c r="V123" s="252"/>
      <c r="W123" s="252"/>
      <c r="X123" s="252"/>
      <c r="Y123" s="252"/>
      <c r="Z123" s="252"/>
    </row>
    <row r="124" spans="1:26" s="209" customFormat="1" ht="79.8">
      <c r="A124" s="251"/>
      <c r="B124" s="252"/>
      <c r="C124" s="252"/>
      <c r="D124" s="252"/>
      <c r="E124" s="253"/>
      <c r="F124" s="228"/>
      <c r="G124" s="224" t="s">
        <v>763</v>
      </c>
      <c r="H124" s="301">
        <v>43340</v>
      </c>
      <c r="I124" s="226"/>
      <c r="J124" s="226" t="s">
        <v>764</v>
      </c>
      <c r="K124" s="226" t="s">
        <v>764</v>
      </c>
      <c r="L124" s="314" t="s">
        <v>1009</v>
      </c>
      <c r="M124" s="314"/>
      <c r="N124" s="315"/>
      <c r="O124" s="448"/>
      <c r="P124" s="460"/>
      <c r="Q124" s="252"/>
      <c r="R124" s="252"/>
      <c r="S124" s="252"/>
      <c r="T124" s="252"/>
      <c r="U124" s="252"/>
      <c r="V124" s="252"/>
      <c r="W124" s="252"/>
      <c r="X124" s="252"/>
      <c r="Y124" s="252"/>
      <c r="Z124" s="252"/>
    </row>
    <row r="125" spans="1:26" s="209" customFormat="1" ht="79.8">
      <c r="A125" s="251"/>
      <c r="B125" s="252"/>
      <c r="C125" s="252"/>
      <c r="D125" s="252"/>
      <c r="E125" s="253"/>
      <c r="F125" s="228"/>
      <c r="G125" s="224" t="s">
        <v>765</v>
      </c>
      <c r="H125" s="306">
        <v>43340</v>
      </c>
      <c r="I125" s="226"/>
      <c r="J125" s="226" t="s">
        <v>421</v>
      </c>
      <c r="K125" s="226" t="s">
        <v>421</v>
      </c>
      <c r="L125" s="314" t="s">
        <v>1009</v>
      </c>
      <c r="M125" s="314"/>
      <c r="N125" s="315"/>
      <c r="O125" s="448"/>
      <c r="P125" s="460"/>
      <c r="Q125" s="252"/>
      <c r="R125" s="252"/>
      <c r="S125" s="252"/>
      <c r="T125" s="252"/>
      <c r="U125" s="252"/>
      <c r="V125" s="252"/>
      <c r="W125" s="252"/>
      <c r="X125" s="252"/>
      <c r="Y125" s="252"/>
      <c r="Z125" s="252"/>
    </row>
    <row r="126" spans="1:26" s="209" customFormat="1" ht="15.75" customHeight="1">
      <c r="A126" s="251"/>
      <c r="B126" s="252"/>
      <c r="C126" s="252"/>
      <c r="D126" s="252"/>
      <c r="E126" s="253"/>
      <c r="F126" s="228"/>
      <c r="G126" s="224" t="s">
        <v>644</v>
      </c>
      <c r="H126" s="301">
        <v>43340</v>
      </c>
      <c r="I126" s="226"/>
      <c r="J126" s="226" t="s">
        <v>282</v>
      </c>
      <c r="K126" s="254"/>
      <c r="L126" s="314" t="s">
        <v>1009</v>
      </c>
      <c r="M126" s="314"/>
      <c r="N126" s="315"/>
      <c r="O126" s="448"/>
      <c r="P126" s="460"/>
      <c r="Q126" s="252"/>
      <c r="R126" s="252"/>
      <c r="S126" s="252"/>
      <c r="T126" s="252"/>
      <c r="U126" s="252"/>
      <c r="V126" s="252"/>
      <c r="W126" s="252"/>
      <c r="X126" s="252"/>
      <c r="Y126" s="252"/>
      <c r="Z126" s="252"/>
    </row>
    <row r="127" spans="1:26" s="209" customFormat="1" ht="91.2">
      <c r="A127" s="251"/>
      <c r="B127" s="252"/>
      <c r="C127" s="252"/>
      <c r="D127" s="252"/>
      <c r="E127" s="253"/>
      <c r="F127" s="228"/>
      <c r="G127" s="224" t="s">
        <v>766</v>
      </c>
      <c r="H127" s="306">
        <v>43340</v>
      </c>
      <c r="I127" s="226"/>
      <c r="J127" s="226" t="s">
        <v>767</v>
      </c>
      <c r="K127" s="226" t="s">
        <v>767</v>
      </c>
      <c r="L127" s="314" t="s">
        <v>1009</v>
      </c>
      <c r="M127" s="314"/>
      <c r="N127" s="315"/>
      <c r="O127" s="448"/>
      <c r="P127" s="460"/>
      <c r="Q127" s="252"/>
      <c r="R127" s="252"/>
      <c r="S127" s="252"/>
      <c r="T127" s="252"/>
      <c r="U127" s="252"/>
      <c r="V127" s="252"/>
      <c r="W127" s="252"/>
      <c r="X127" s="252"/>
      <c r="Y127" s="252"/>
      <c r="Z127" s="252"/>
    </row>
    <row r="128" spans="1:26" s="209" customFormat="1" ht="79.8">
      <c r="A128" s="251"/>
      <c r="B128" s="252"/>
      <c r="C128" s="252"/>
      <c r="D128" s="252"/>
      <c r="E128" s="253"/>
      <c r="F128" s="228"/>
      <c r="G128" s="224" t="s">
        <v>768</v>
      </c>
      <c r="H128" s="301">
        <v>43340</v>
      </c>
      <c r="I128" s="226"/>
      <c r="J128" s="226" t="s">
        <v>764</v>
      </c>
      <c r="K128" s="226" t="s">
        <v>764</v>
      </c>
      <c r="L128" s="314" t="s">
        <v>1009</v>
      </c>
      <c r="M128" s="314"/>
      <c r="N128" s="315"/>
      <c r="O128" s="448"/>
      <c r="P128" s="460"/>
      <c r="Q128" s="252"/>
      <c r="R128" s="252"/>
      <c r="S128" s="252"/>
      <c r="T128" s="252"/>
      <c r="U128" s="252"/>
      <c r="V128" s="252"/>
      <c r="W128" s="252"/>
      <c r="X128" s="252"/>
      <c r="Y128" s="252"/>
      <c r="Z128" s="252"/>
    </row>
    <row r="129" spans="1:26" s="209" customFormat="1" ht="91.2">
      <c r="A129" s="251"/>
      <c r="B129" s="252"/>
      <c r="C129" s="252"/>
      <c r="D129" s="252"/>
      <c r="E129" s="253"/>
      <c r="F129" s="228"/>
      <c r="G129" s="224" t="s">
        <v>769</v>
      </c>
      <c r="H129" s="306">
        <v>43340</v>
      </c>
      <c r="I129" s="226"/>
      <c r="J129" s="226" t="s">
        <v>767</v>
      </c>
      <c r="K129" s="226" t="s">
        <v>767</v>
      </c>
      <c r="L129" s="314" t="s">
        <v>1009</v>
      </c>
      <c r="M129" s="314"/>
      <c r="N129" s="315"/>
      <c r="O129" s="448"/>
      <c r="P129" s="460"/>
      <c r="Q129" s="252"/>
      <c r="R129" s="252"/>
      <c r="S129" s="252"/>
      <c r="T129" s="252"/>
      <c r="U129" s="252"/>
      <c r="V129" s="252"/>
      <c r="W129" s="252"/>
      <c r="X129" s="252"/>
      <c r="Y129" s="252"/>
      <c r="Z129" s="252"/>
    </row>
    <row r="130" spans="1:26" s="209" customFormat="1" ht="91.2">
      <c r="A130" s="251"/>
      <c r="B130" s="252"/>
      <c r="C130" s="252"/>
      <c r="D130" s="252"/>
      <c r="E130" s="253"/>
      <c r="F130" s="228"/>
      <c r="G130" s="224" t="s">
        <v>770</v>
      </c>
      <c r="H130" s="301">
        <v>43340</v>
      </c>
      <c r="I130" s="226"/>
      <c r="J130" s="226" t="s">
        <v>421</v>
      </c>
      <c r="K130" s="226" t="s">
        <v>421</v>
      </c>
      <c r="L130" s="314" t="s">
        <v>1009</v>
      </c>
      <c r="M130" s="314"/>
      <c r="N130" s="315"/>
      <c r="O130" s="448"/>
      <c r="P130" s="460"/>
      <c r="Q130" s="252"/>
      <c r="R130" s="252"/>
      <c r="S130" s="252"/>
      <c r="T130" s="252"/>
      <c r="U130" s="252"/>
      <c r="V130" s="252"/>
      <c r="W130" s="252"/>
      <c r="X130" s="252"/>
      <c r="Y130" s="252"/>
      <c r="Z130" s="252"/>
    </row>
    <row r="131" spans="1:26" s="209" customFormat="1" ht="15.75" customHeight="1">
      <c r="A131" s="251"/>
      <c r="B131" s="252"/>
      <c r="C131" s="252"/>
      <c r="D131" s="252"/>
      <c r="E131" s="253"/>
      <c r="F131" s="228"/>
      <c r="G131" s="224" t="s">
        <v>644</v>
      </c>
      <c r="H131" s="306">
        <v>43340</v>
      </c>
      <c r="I131" s="226"/>
      <c r="J131" s="226" t="s">
        <v>282</v>
      </c>
      <c r="K131" s="254"/>
      <c r="L131" s="314" t="s">
        <v>1009</v>
      </c>
      <c r="M131" s="314"/>
      <c r="N131" s="315"/>
      <c r="O131" s="448"/>
      <c r="P131" s="460"/>
      <c r="Q131" s="252"/>
      <c r="R131" s="252"/>
      <c r="S131" s="252"/>
      <c r="T131" s="252"/>
      <c r="U131" s="252"/>
      <c r="V131" s="252"/>
      <c r="W131" s="252"/>
      <c r="X131" s="252"/>
      <c r="Y131" s="252"/>
      <c r="Z131" s="252"/>
    </row>
    <row r="132" spans="1:26" s="237" customFormat="1" ht="91.2">
      <c r="A132" s="394"/>
      <c r="B132" s="395"/>
      <c r="C132" s="395"/>
      <c r="D132" s="395"/>
      <c r="E132" s="414"/>
      <c r="F132" s="233"/>
      <c r="G132" s="305" t="s">
        <v>1207</v>
      </c>
      <c r="H132" s="301">
        <v>43340</v>
      </c>
      <c r="I132" s="235"/>
      <c r="J132" s="235" t="s">
        <v>771</v>
      </c>
      <c r="K132" s="235" t="s">
        <v>771</v>
      </c>
      <c r="L132" s="358" t="s">
        <v>1009</v>
      </c>
      <c r="M132" s="358"/>
      <c r="N132" s="359"/>
      <c r="O132" s="447"/>
      <c r="P132" s="461"/>
      <c r="Q132" s="395"/>
      <c r="R132" s="395"/>
      <c r="S132" s="395"/>
      <c r="T132" s="395"/>
      <c r="U132" s="395"/>
      <c r="V132" s="395"/>
      <c r="W132" s="395"/>
      <c r="X132" s="395"/>
      <c r="Y132" s="395"/>
      <c r="Z132" s="395"/>
    </row>
    <row r="133" spans="1:26" s="209" customFormat="1" ht="79.8">
      <c r="A133" s="251"/>
      <c r="B133" s="252"/>
      <c r="C133" s="252"/>
      <c r="D133" s="252"/>
      <c r="E133" s="253"/>
      <c r="F133" s="228"/>
      <c r="G133" s="224" t="s">
        <v>1208</v>
      </c>
      <c r="H133" s="306">
        <v>43340</v>
      </c>
      <c r="I133" s="226"/>
      <c r="J133" s="235" t="s">
        <v>771</v>
      </c>
      <c r="K133" s="235" t="s">
        <v>771</v>
      </c>
      <c r="L133" s="314" t="s">
        <v>1009</v>
      </c>
      <c r="M133" s="314"/>
      <c r="N133" s="315"/>
      <c r="O133" s="448"/>
      <c r="P133" s="460"/>
      <c r="Q133" s="252"/>
      <c r="R133" s="252"/>
      <c r="S133" s="252"/>
      <c r="T133" s="252"/>
      <c r="U133" s="252"/>
      <c r="V133" s="252"/>
      <c r="W133" s="252"/>
      <c r="X133" s="252"/>
      <c r="Y133" s="252"/>
      <c r="Z133" s="252"/>
    </row>
    <row r="134" spans="1:26" s="237" customFormat="1" ht="79.8">
      <c r="A134" s="394"/>
      <c r="B134" s="395"/>
      <c r="C134" s="395"/>
      <c r="D134" s="395"/>
      <c r="E134" s="414"/>
      <c r="F134" s="233"/>
      <c r="G134" s="305" t="s">
        <v>772</v>
      </c>
      <c r="H134" s="301">
        <v>43340</v>
      </c>
      <c r="I134" s="235"/>
      <c r="J134" s="235" t="s">
        <v>412</v>
      </c>
      <c r="K134" s="235" t="s">
        <v>412</v>
      </c>
      <c r="L134" s="358" t="s">
        <v>1009</v>
      </c>
      <c r="M134" s="358"/>
      <c r="N134" s="359"/>
      <c r="O134" s="447"/>
      <c r="P134" s="461"/>
      <c r="Q134" s="395"/>
      <c r="R134" s="395"/>
      <c r="S134" s="395"/>
      <c r="T134" s="395"/>
      <c r="U134" s="395"/>
      <c r="V134" s="395"/>
      <c r="W134" s="395"/>
      <c r="X134" s="395"/>
      <c r="Y134" s="395"/>
      <c r="Z134" s="395"/>
    </row>
    <row r="135" spans="1:26" s="209" customFormat="1" ht="79.8">
      <c r="A135" s="251"/>
      <c r="B135" s="252"/>
      <c r="C135" s="252"/>
      <c r="D135" s="252"/>
      <c r="E135" s="253"/>
      <c r="F135" s="228"/>
      <c r="G135" s="224" t="s">
        <v>773</v>
      </c>
      <c r="H135" s="306">
        <v>43340</v>
      </c>
      <c r="I135" s="226"/>
      <c r="J135" s="226" t="s">
        <v>421</v>
      </c>
      <c r="K135" s="226" t="s">
        <v>421</v>
      </c>
      <c r="L135" s="314" t="s">
        <v>1009</v>
      </c>
      <c r="M135" s="314"/>
      <c r="N135" s="315"/>
      <c r="O135" s="448"/>
      <c r="P135" s="460"/>
      <c r="Q135" s="252"/>
      <c r="R135" s="252"/>
      <c r="S135" s="252"/>
      <c r="T135" s="252"/>
      <c r="U135" s="252"/>
      <c r="V135" s="252"/>
      <c r="W135" s="252"/>
      <c r="X135" s="252"/>
      <c r="Y135" s="252"/>
      <c r="Z135" s="252"/>
    </row>
    <row r="136" spans="1:26" s="209" customFormat="1">
      <c r="A136" s="251"/>
      <c r="B136" s="252"/>
      <c r="C136" s="252"/>
      <c r="D136" s="252"/>
      <c r="E136" s="253"/>
      <c r="F136" s="228"/>
      <c r="G136" s="224" t="s">
        <v>286</v>
      </c>
      <c r="H136" s="301">
        <v>43340</v>
      </c>
      <c r="I136" s="226"/>
      <c r="J136" s="226" t="s">
        <v>282</v>
      </c>
      <c r="K136" s="254"/>
      <c r="L136" s="314" t="s">
        <v>1009</v>
      </c>
      <c r="M136" s="314"/>
      <c r="N136" s="315"/>
      <c r="O136" s="448"/>
      <c r="P136" s="460"/>
      <c r="Q136" s="252"/>
      <c r="R136" s="252"/>
      <c r="S136" s="252"/>
      <c r="T136" s="252"/>
      <c r="U136" s="252"/>
      <c r="V136" s="252"/>
      <c r="W136" s="252"/>
      <c r="X136" s="252"/>
      <c r="Y136" s="252"/>
      <c r="Z136" s="252"/>
    </row>
    <row r="137" spans="1:26" s="209" customFormat="1" ht="79.8">
      <c r="A137" s="251"/>
      <c r="B137" s="252"/>
      <c r="C137" s="252"/>
      <c r="D137" s="252"/>
      <c r="E137" s="253"/>
      <c r="F137" s="228"/>
      <c r="G137" s="224" t="s">
        <v>774</v>
      </c>
      <c r="H137" s="306">
        <v>43340</v>
      </c>
      <c r="I137" s="226"/>
      <c r="J137" s="226" t="s">
        <v>775</v>
      </c>
      <c r="K137" s="226" t="s">
        <v>775</v>
      </c>
      <c r="L137" s="314" t="s">
        <v>1009</v>
      </c>
      <c r="M137" s="314"/>
      <c r="N137" s="315"/>
      <c r="O137" s="448"/>
      <c r="P137" s="460"/>
      <c r="Q137" s="252"/>
      <c r="R137" s="252"/>
      <c r="S137" s="252"/>
      <c r="T137" s="252"/>
      <c r="U137" s="252"/>
      <c r="V137" s="252"/>
      <c r="W137" s="252"/>
      <c r="X137" s="252"/>
      <c r="Y137" s="252"/>
      <c r="Z137" s="252"/>
    </row>
    <row r="138" spans="1:26" s="237" customFormat="1" ht="79.8">
      <c r="A138" s="394"/>
      <c r="B138" s="395"/>
      <c r="C138" s="395"/>
      <c r="D138" s="395"/>
      <c r="E138" s="414"/>
      <c r="F138" s="233"/>
      <c r="G138" s="305" t="s">
        <v>776</v>
      </c>
      <c r="H138" s="301">
        <v>43340</v>
      </c>
      <c r="I138" s="235"/>
      <c r="J138" s="235" t="s">
        <v>764</v>
      </c>
      <c r="K138" s="235" t="s">
        <v>764</v>
      </c>
      <c r="L138" s="358" t="s">
        <v>1009</v>
      </c>
      <c r="M138" s="358"/>
      <c r="N138" s="359"/>
      <c r="O138" s="447"/>
      <c r="P138" s="461"/>
      <c r="Q138" s="395"/>
      <c r="R138" s="395"/>
      <c r="S138" s="395"/>
      <c r="T138" s="395"/>
      <c r="U138" s="395"/>
      <c r="V138" s="395"/>
      <c r="W138" s="395"/>
      <c r="X138" s="395"/>
      <c r="Y138" s="395"/>
      <c r="Z138" s="395"/>
    </row>
    <row r="139" spans="1:26" s="209" customFormat="1" ht="79.8">
      <c r="A139" s="251"/>
      <c r="B139" s="252"/>
      <c r="C139" s="252"/>
      <c r="D139" s="252"/>
      <c r="E139" s="253"/>
      <c r="F139" s="228"/>
      <c r="G139" s="224" t="s">
        <v>777</v>
      </c>
      <c r="H139" s="306">
        <v>43340</v>
      </c>
      <c r="I139" s="226"/>
      <c r="J139" s="226" t="s">
        <v>421</v>
      </c>
      <c r="K139" s="226" t="s">
        <v>421</v>
      </c>
      <c r="L139" s="314" t="s">
        <v>1009</v>
      </c>
      <c r="M139" s="314"/>
      <c r="N139" s="315"/>
      <c r="O139" s="448"/>
      <c r="P139" s="460"/>
      <c r="Q139" s="252"/>
      <c r="R139" s="252"/>
      <c r="S139" s="252"/>
      <c r="T139" s="252"/>
      <c r="U139" s="252"/>
      <c r="V139" s="252"/>
      <c r="W139" s="252"/>
      <c r="X139" s="252"/>
      <c r="Y139" s="252"/>
      <c r="Z139" s="252"/>
    </row>
    <row r="140" spans="1:26" s="209" customFormat="1" ht="34.200000000000003">
      <c r="A140" s="251"/>
      <c r="B140" s="252"/>
      <c r="C140" s="252"/>
      <c r="D140" s="252"/>
      <c r="E140" s="253"/>
      <c r="F140" s="228"/>
      <c r="G140" s="224" t="s">
        <v>1211</v>
      </c>
      <c r="H140" s="301">
        <v>43340</v>
      </c>
      <c r="I140" s="226"/>
      <c r="J140" s="226" t="s">
        <v>282</v>
      </c>
      <c r="K140" s="254"/>
      <c r="L140" s="314" t="s">
        <v>1009</v>
      </c>
      <c r="M140" s="314"/>
      <c r="N140" s="315"/>
      <c r="O140" s="448"/>
      <c r="P140" s="460"/>
      <c r="Q140" s="252"/>
      <c r="R140" s="252"/>
      <c r="S140" s="252"/>
      <c r="T140" s="252"/>
      <c r="U140" s="252"/>
      <c r="V140" s="252"/>
      <c r="W140" s="252"/>
      <c r="X140" s="252"/>
      <c r="Y140" s="252"/>
      <c r="Z140" s="252"/>
    </row>
    <row r="141" spans="1:26" s="209" customFormat="1" ht="68.400000000000006">
      <c r="A141" s="251"/>
      <c r="B141" s="252"/>
      <c r="C141" s="252"/>
      <c r="D141" s="252"/>
      <c r="E141" s="253"/>
      <c r="F141" s="228"/>
      <c r="G141" s="224" t="s">
        <v>778</v>
      </c>
      <c r="H141" s="306">
        <v>43340</v>
      </c>
      <c r="I141" s="226"/>
      <c r="J141" s="226" t="s">
        <v>1210</v>
      </c>
      <c r="K141" s="226" t="s">
        <v>1210</v>
      </c>
      <c r="L141" s="314" t="s">
        <v>1009</v>
      </c>
      <c r="M141" s="314"/>
      <c r="N141" s="315"/>
      <c r="O141" s="448"/>
      <c r="P141" s="460"/>
      <c r="Q141" s="252"/>
      <c r="R141" s="252"/>
      <c r="S141" s="252"/>
      <c r="T141" s="252"/>
      <c r="U141" s="252"/>
      <c r="V141" s="252"/>
      <c r="W141" s="252"/>
      <c r="X141" s="252"/>
      <c r="Y141" s="252"/>
      <c r="Z141" s="252"/>
    </row>
    <row r="142" spans="1:26" s="209" customFormat="1" ht="68.400000000000006">
      <c r="A142" s="251"/>
      <c r="B142" s="252"/>
      <c r="C142" s="252"/>
      <c r="D142" s="252"/>
      <c r="E142" s="253"/>
      <c r="F142" s="228"/>
      <c r="G142" s="224" t="s">
        <v>780</v>
      </c>
      <c r="H142" s="301">
        <v>43340</v>
      </c>
      <c r="I142" s="226"/>
      <c r="J142" s="226" t="s">
        <v>1209</v>
      </c>
      <c r="K142" s="226" t="s">
        <v>1209</v>
      </c>
      <c r="L142" s="314" t="s">
        <v>1009</v>
      </c>
      <c r="M142" s="314"/>
      <c r="N142" s="315"/>
      <c r="O142" s="448"/>
      <c r="P142" s="460"/>
      <c r="Q142" s="252"/>
      <c r="R142" s="252"/>
      <c r="S142" s="252"/>
      <c r="T142" s="252"/>
      <c r="U142" s="252"/>
      <c r="V142" s="252"/>
      <c r="W142" s="252"/>
      <c r="X142" s="252"/>
      <c r="Y142" s="252"/>
      <c r="Z142" s="252"/>
    </row>
    <row r="143" spans="1:26" s="209" customFormat="1" ht="68.400000000000006">
      <c r="A143" s="251"/>
      <c r="B143" s="252"/>
      <c r="C143" s="252"/>
      <c r="D143" s="252"/>
      <c r="E143" s="253"/>
      <c r="F143" s="228"/>
      <c r="G143" s="224" t="s">
        <v>781</v>
      </c>
      <c r="H143" s="306">
        <v>43340</v>
      </c>
      <c r="I143" s="226"/>
      <c r="J143" s="226" t="s">
        <v>421</v>
      </c>
      <c r="K143" s="226" t="s">
        <v>421</v>
      </c>
      <c r="L143" s="314" t="s">
        <v>1009</v>
      </c>
      <c r="M143" s="314"/>
      <c r="N143" s="315"/>
      <c r="O143" s="448"/>
      <c r="P143" s="460"/>
      <c r="Q143" s="252"/>
      <c r="R143" s="252"/>
      <c r="S143" s="252"/>
      <c r="T143" s="252"/>
      <c r="U143" s="252"/>
      <c r="V143" s="252"/>
      <c r="W143" s="252"/>
      <c r="X143" s="252"/>
      <c r="Y143" s="252"/>
      <c r="Z143" s="252"/>
    </row>
    <row r="144" spans="1:26" s="209" customFormat="1" ht="34.200000000000003">
      <c r="A144" s="251"/>
      <c r="B144" s="252"/>
      <c r="C144" s="252"/>
      <c r="D144" s="252"/>
      <c r="E144" s="253"/>
      <c r="F144" s="228"/>
      <c r="G144" s="224" t="s">
        <v>1211</v>
      </c>
      <c r="H144" s="301">
        <v>43340</v>
      </c>
      <c r="I144" s="226"/>
      <c r="J144" s="226" t="s">
        <v>282</v>
      </c>
      <c r="K144" s="254"/>
      <c r="L144" s="314" t="s">
        <v>1009</v>
      </c>
      <c r="M144" s="314"/>
      <c r="N144" s="315"/>
      <c r="O144" s="448"/>
      <c r="P144" s="460"/>
      <c r="Q144" s="252"/>
      <c r="R144" s="252"/>
      <c r="S144" s="252"/>
      <c r="T144" s="252"/>
      <c r="U144" s="252"/>
      <c r="V144" s="252"/>
      <c r="W144" s="252"/>
      <c r="X144" s="252"/>
      <c r="Y144" s="252"/>
      <c r="Z144" s="252"/>
    </row>
    <row r="145" spans="1:26" s="209" customFormat="1" ht="57">
      <c r="A145" s="251"/>
      <c r="B145" s="252"/>
      <c r="C145" s="252"/>
      <c r="D145" s="252"/>
      <c r="E145" s="253">
        <v>9</v>
      </c>
      <c r="F145" s="224" t="s">
        <v>782</v>
      </c>
      <c r="G145" s="224" t="s">
        <v>783</v>
      </c>
      <c r="H145" s="306">
        <v>43340</v>
      </c>
      <c r="I145" s="226"/>
      <c r="J145" s="226" t="s">
        <v>288</v>
      </c>
      <c r="K145" s="226" t="s">
        <v>288</v>
      </c>
      <c r="L145" s="314" t="s">
        <v>1009</v>
      </c>
      <c r="M145" s="314"/>
      <c r="N145" s="315"/>
      <c r="O145" s="448"/>
      <c r="P145" s="460"/>
      <c r="Q145" s="252"/>
      <c r="R145" s="252"/>
      <c r="S145" s="252"/>
      <c r="T145" s="252"/>
      <c r="U145" s="252"/>
      <c r="V145" s="252"/>
      <c r="W145" s="252"/>
      <c r="X145" s="252"/>
      <c r="Y145" s="252"/>
      <c r="Z145" s="252"/>
    </row>
    <row r="146" spans="1:26" s="209" customFormat="1" ht="34.200000000000003">
      <c r="A146" s="251"/>
      <c r="B146" s="252"/>
      <c r="C146" s="252"/>
      <c r="D146" s="252"/>
      <c r="E146" s="253"/>
      <c r="F146" s="228"/>
      <c r="G146" s="227" t="s">
        <v>289</v>
      </c>
      <c r="H146" s="301">
        <v>43340</v>
      </c>
      <c r="I146" s="226"/>
      <c r="J146" s="226" t="s">
        <v>282</v>
      </c>
      <c r="K146" s="254"/>
      <c r="L146" s="314" t="s">
        <v>1009</v>
      </c>
      <c r="M146" s="314"/>
      <c r="N146" s="315"/>
      <c r="O146" s="448"/>
      <c r="P146" s="460"/>
      <c r="Q146" s="252"/>
      <c r="R146" s="252"/>
      <c r="S146" s="252"/>
      <c r="T146" s="252"/>
      <c r="U146" s="252"/>
      <c r="V146" s="252"/>
      <c r="W146" s="252"/>
      <c r="X146" s="252"/>
      <c r="Y146" s="252"/>
      <c r="Z146" s="252"/>
    </row>
    <row r="147" spans="1:26" s="209" customFormat="1" ht="34.200000000000003">
      <c r="A147" s="251"/>
      <c r="B147" s="252"/>
      <c r="C147" s="252"/>
      <c r="D147" s="252"/>
      <c r="E147" s="253"/>
      <c r="F147" s="228"/>
      <c r="G147" s="227" t="s">
        <v>290</v>
      </c>
      <c r="H147" s="306">
        <v>43340</v>
      </c>
      <c r="I147" s="226"/>
      <c r="J147" s="226" t="s">
        <v>722</v>
      </c>
      <c r="K147" s="226" t="s">
        <v>722</v>
      </c>
      <c r="L147" s="314" t="s">
        <v>1009</v>
      </c>
      <c r="M147" s="314"/>
      <c r="N147" s="315"/>
      <c r="O147" s="448"/>
      <c r="P147" s="460"/>
      <c r="Q147" s="252"/>
      <c r="R147" s="252"/>
      <c r="S147" s="252"/>
      <c r="T147" s="252"/>
      <c r="U147" s="252"/>
      <c r="V147" s="252"/>
      <c r="W147" s="252"/>
      <c r="X147" s="252"/>
      <c r="Y147" s="252"/>
      <c r="Z147" s="252"/>
    </row>
    <row r="148" spans="1:26" s="209" customFormat="1">
      <c r="A148" s="251"/>
      <c r="B148" s="252"/>
      <c r="C148" s="252"/>
      <c r="D148" s="252"/>
      <c r="E148" s="253"/>
      <c r="F148" s="228"/>
      <c r="G148" s="227" t="s">
        <v>286</v>
      </c>
      <c r="H148" s="301">
        <v>43340</v>
      </c>
      <c r="I148" s="226"/>
      <c r="J148" s="226" t="s">
        <v>282</v>
      </c>
      <c r="K148" s="254"/>
      <c r="L148" s="314" t="s">
        <v>1009</v>
      </c>
      <c r="M148" s="314"/>
      <c r="N148" s="315"/>
      <c r="O148" s="448"/>
      <c r="P148" s="460"/>
      <c r="Q148" s="252"/>
      <c r="R148" s="252"/>
      <c r="S148" s="252"/>
      <c r="T148" s="252"/>
      <c r="U148" s="252"/>
      <c r="V148" s="252"/>
      <c r="W148" s="252"/>
      <c r="X148" s="252"/>
      <c r="Y148" s="252"/>
      <c r="Z148" s="252"/>
    </row>
    <row r="149" spans="1:26" s="209" customFormat="1" ht="68.400000000000006">
      <c r="A149" s="251"/>
      <c r="B149" s="252"/>
      <c r="C149" s="252"/>
      <c r="D149" s="252"/>
      <c r="E149" s="253"/>
      <c r="F149" s="228"/>
      <c r="G149" s="224" t="s">
        <v>784</v>
      </c>
      <c r="H149" s="306">
        <v>43340</v>
      </c>
      <c r="I149" s="226"/>
      <c r="J149" s="226" t="s">
        <v>288</v>
      </c>
      <c r="K149" s="226" t="s">
        <v>288</v>
      </c>
      <c r="L149" s="314" t="s">
        <v>1009</v>
      </c>
      <c r="M149" s="314"/>
      <c r="N149" s="315"/>
      <c r="O149" s="448"/>
      <c r="P149" s="460"/>
      <c r="Q149" s="252"/>
      <c r="R149" s="252"/>
      <c r="S149" s="252"/>
      <c r="T149" s="252"/>
      <c r="U149" s="252"/>
      <c r="V149" s="252"/>
      <c r="W149" s="252"/>
      <c r="X149" s="252"/>
      <c r="Y149" s="252"/>
      <c r="Z149" s="252"/>
    </row>
    <row r="150" spans="1:26" s="209" customFormat="1" ht="34.200000000000003">
      <c r="A150" s="251"/>
      <c r="B150" s="252"/>
      <c r="C150" s="252"/>
      <c r="D150" s="252"/>
      <c r="E150" s="253"/>
      <c r="F150" s="228"/>
      <c r="G150" s="227" t="s">
        <v>289</v>
      </c>
      <c r="H150" s="301">
        <v>43340</v>
      </c>
      <c r="I150" s="226"/>
      <c r="J150" s="226" t="s">
        <v>282</v>
      </c>
      <c r="K150" s="254"/>
      <c r="L150" s="314" t="s">
        <v>1009</v>
      </c>
      <c r="M150" s="314"/>
      <c r="N150" s="315"/>
      <c r="O150" s="448"/>
      <c r="P150" s="460"/>
      <c r="Q150" s="252"/>
      <c r="R150" s="252"/>
      <c r="S150" s="252"/>
      <c r="T150" s="252"/>
      <c r="U150" s="252"/>
      <c r="V150" s="252"/>
      <c r="W150" s="252"/>
      <c r="X150" s="252"/>
      <c r="Y150" s="252"/>
      <c r="Z150" s="252"/>
    </row>
    <row r="151" spans="1:26" s="209" customFormat="1" ht="34.200000000000003">
      <c r="A151" s="251"/>
      <c r="B151" s="252"/>
      <c r="C151" s="252"/>
      <c r="D151" s="252"/>
      <c r="E151" s="253"/>
      <c r="F151" s="228"/>
      <c r="G151" s="227" t="s">
        <v>290</v>
      </c>
      <c r="H151" s="306">
        <v>43340</v>
      </c>
      <c r="I151" s="226"/>
      <c r="J151" s="226" t="s">
        <v>722</v>
      </c>
      <c r="K151" s="226" t="s">
        <v>722</v>
      </c>
      <c r="L151" s="314" t="s">
        <v>1009</v>
      </c>
      <c r="M151" s="314"/>
      <c r="N151" s="315"/>
      <c r="O151" s="448"/>
      <c r="P151" s="460"/>
      <c r="Q151" s="252"/>
      <c r="R151" s="252"/>
      <c r="S151" s="252"/>
      <c r="T151" s="252"/>
      <c r="U151" s="252"/>
      <c r="V151" s="252"/>
      <c r="W151" s="252"/>
      <c r="X151" s="252"/>
      <c r="Y151" s="252"/>
      <c r="Z151" s="252"/>
    </row>
    <row r="152" spans="1:26" s="209" customFormat="1">
      <c r="A152" s="251"/>
      <c r="B152" s="252"/>
      <c r="C152" s="252"/>
      <c r="D152" s="252"/>
      <c r="E152" s="253"/>
      <c r="F152" s="228"/>
      <c r="G152" s="227" t="s">
        <v>286</v>
      </c>
      <c r="H152" s="301">
        <v>43340</v>
      </c>
      <c r="I152" s="226"/>
      <c r="J152" s="226" t="s">
        <v>282</v>
      </c>
      <c r="K152" s="254"/>
      <c r="L152" s="314" t="s">
        <v>1009</v>
      </c>
      <c r="M152" s="314"/>
      <c r="N152" s="315"/>
      <c r="O152" s="448"/>
      <c r="P152" s="460"/>
      <c r="Q152" s="252"/>
      <c r="R152" s="252"/>
      <c r="S152" s="252"/>
      <c r="T152" s="252"/>
      <c r="U152" s="252"/>
      <c r="V152" s="252"/>
      <c r="W152" s="252"/>
      <c r="X152" s="252"/>
      <c r="Y152" s="252"/>
      <c r="Z152" s="252"/>
    </row>
    <row r="153" spans="1:26" s="209" customFormat="1" ht="68.400000000000006">
      <c r="A153" s="251"/>
      <c r="B153" s="252"/>
      <c r="C153" s="252"/>
      <c r="D153" s="252"/>
      <c r="E153" s="253"/>
      <c r="F153" s="228"/>
      <c r="G153" s="224" t="s">
        <v>785</v>
      </c>
      <c r="H153" s="306">
        <v>43340</v>
      </c>
      <c r="I153" s="226"/>
      <c r="J153" s="226" t="s">
        <v>288</v>
      </c>
      <c r="K153" s="226" t="s">
        <v>288</v>
      </c>
      <c r="L153" s="314" t="s">
        <v>1009</v>
      </c>
      <c r="M153" s="314"/>
      <c r="N153" s="315"/>
      <c r="O153" s="448"/>
      <c r="P153" s="460"/>
      <c r="Q153" s="252"/>
      <c r="R153" s="252"/>
      <c r="S153" s="252"/>
      <c r="T153" s="252"/>
      <c r="U153" s="252"/>
      <c r="V153" s="252"/>
      <c r="W153" s="252"/>
      <c r="X153" s="252"/>
      <c r="Y153" s="252"/>
      <c r="Z153" s="252"/>
    </row>
    <row r="154" spans="1:26" s="209" customFormat="1" ht="34.200000000000003">
      <c r="A154" s="251"/>
      <c r="B154" s="252"/>
      <c r="C154" s="252"/>
      <c r="D154" s="252"/>
      <c r="E154" s="253"/>
      <c r="F154" s="228"/>
      <c r="G154" s="227" t="s">
        <v>289</v>
      </c>
      <c r="H154" s="301">
        <v>43340</v>
      </c>
      <c r="I154" s="226"/>
      <c r="J154" s="226" t="s">
        <v>282</v>
      </c>
      <c r="K154" s="254"/>
      <c r="L154" s="314" t="s">
        <v>1009</v>
      </c>
      <c r="M154" s="314"/>
      <c r="N154" s="315"/>
      <c r="O154" s="448"/>
      <c r="P154" s="460"/>
      <c r="Q154" s="252"/>
      <c r="R154" s="252"/>
      <c r="S154" s="252"/>
      <c r="T154" s="252"/>
      <c r="U154" s="252"/>
      <c r="V154" s="252"/>
      <c r="W154" s="252"/>
      <c r="X154" s="252"/>
      <c r="Y154" s="252"/>
      <c r="Z154" s="252"/>
    </row>
    <row r="155" spans="1:26" s="209" customFormat="1" ht="34.200000000000003">
      <c r="A155" s="251"/>
      <c r="B155" s="252"/>
      <c r="C155" s="252"/>
      <c r="D155" s="252"/>
      <c r="E155" s="253"/>
      <c r="F155" s="228"/>
      <c r="G155" s="227" t="s">
        <v>290</v>
      </c>
      <c r="H155" s="306">
        <v>43340</v>
      </c>
      <c r="I155" s="226"/>
      <c r="J155" s="226" t="s">
        <v>722</v>
      </c>
      <c r="K155" s="226" t="s">
        <v>722</v>
      </c>
      <c r="L155" s="314" t="s">
        <v>1009</v>
      </c>
      <c r="M155" s="314"/>
      <c r="N155" s="315"/>
      <c r="O155" s="448"/>
      <c r="P155" s="460"/>
      <c r="Q155" s="252"/>
      <c r="R155" s="252"/>
      <c r="S155" s="252"/>
      <c r="T155" s="252"/>
      <c r="U155" s="252"/>
      <c r="V155" s="252"/>
      <c r="W155" s="252"/>
      <c r="X155" s="252"/>
      <c r="Y155" s="252"/>
      <c r="Z155" s="252"/>
    </row>
    <row r="156" spans="1:26" s="209" customFormat="1" ht="15.75" customHeight="1">
      <c r="A156" s="251"/>
      <c r="B156" s="252"/>
      <c r="C156" s="252"/>
      <c r="D156" s="252"/>
      <c r="E156" s="253"/>
      <c r="F156" s="228"/>
      <c r="G156" s="227" t="s">
        <v>286</v>
      </c>
      <c r="H156" s="301">
        <v>43340</v>
      </c>
      <c r="I156" s="226"/>
      <c r="J156" s="226" t="s">
        <v>282</v>
      </c>
      <c r="K156" s="254"/>
      <c r="L156" s="314" t="s">
        <v>1009</v>
      </c>
      <c r="M156" s="314"/>
      <c r="N156" s="315"/>
      <c r="O156" s="448"/>
      <c r="P156" s="460"/>
      <c r="Q156" s="252"/>
      <c r="R156" s="252"/>
      <c r="S156" s="252"/>
      <c r="T156" s="252"/>
      <c r="U156" s="252"/>
      <c r="V156" s="252"/>
      <c r="W156" s="252"/>
      <c r="X156" s="252"/>
      <c r="Y156" s="252"/>
      <c r="Z156" s="252"/>
    </row>
    <row r="157" spans="1:26" s="209" customFormat="1" ht="68.400000000000006">
      <c r="A157" s="251"/>
      <c r="B157" s="252"/>
      <c r="C157" s="252"/>
      <c r="D157" s="252"/>
      <c r="E157" s="253"/>
      <c r="F157" s="228"/>
      <c r="G157" s="224" t="s">
        <v>786</v>
      </c>
      <c r="H157" s="306">
        <v>43340</v>
      </c>
      <c r="I157" s="226"/>
      <c r="J157" s="226" t="s">
        <v>787</v>
      </c>
      <c r="K157" s="226" t="s">
        <v>787</v>
      </c>
      <c r="L157" s="314" t="s">
        <v>1009</v>
      </c>
      <c r="M157" s="314"/>
      <c r="N157" s="315"/>
      <c r="O157" s="448"/>
      <c r="P157" s="460"/>
      <c r="Q157" s="252"/>
      <c r="R157" s="252"/>
      <c r="S157" s="252"/>
      <c r="T157" s="252"/>
      <c r="U157" s="252"/>
      <c r="V157" s="252"/>
      <c r="W157" s="252"/>
      <c r="X157" s="252"/>
      <c r="Y157" s="252"/>
      <c r="Z157" s="252"/>
    </row>
    <row r="158" spans="1:26" s="209" customFormat="1" ht="34.200000000000003">
      <c r="A158" s="251"/>
      <c r="B158" s="252"/>
      <c r="C158" s="252"/>
      <c r="D158" s="252"/>
      <c r="E158" s="253"/>
      <c r="F158" s="228"/>
      <c r="G158" s="224" t="s">
        <v>788</v>
      </c>
      <c r="H158" s="301">
        <v>43340</v>
      </c>
      <c r="I158" s="226"/>
      <c r="J158" s="226" t="s">
        <v>288</v>
      </c>
      <c r="K158" s="226" t="s">
        <v>288</v>
      </c>
      <c r="L158" s="314" t="s">
        <v>1009</v>
      </c>
      <c r="M158" s="314"/>
      <c r="N158" s="315"/>
      <c r="O158" s="448"/>
      <c r="P158" s="460"/>
      <c r="Q158" s="252"/>
      <c r="R158" s="252"/>
      <c r="S158" s="252"/>
      <c r="T158" s="252"/>
      <c r="U158" s="252"/>
      <c r="V158" s="252"/>
      <c r="W158" s="252"/>
      <c r="X158" s="252"/>
      <c r="Y158" s="252"/>
      <c r="Z158" s="252"/>
    </row>
    <row r="159" spans="1:26" s="209" customFormat="1" ht="22.8">
      <c r="A159" s="251"/>
      <c r="B159" s="252"/>
      <c r="C159" s="252"/>
      <c r="D159" s="252"/>
      <c r="E159" s="253"/>
      <c r="F159" s="228"/>
      <c r="G159" s="224" t="s">
        <v>662</v>
      </c>
      <c r="H159" s="306">
        <v>43340</v>
      </c>
      <c r="I159" s="226"/>
      <c r="J159" s="226" t="s">
        <v>282</v>
      </c>
      <c r="K159" s="254"/>
      <c r="L159" s="314" t="s">
        <v>1009</v>
      </c>
      <c r="M159" s="314"/>
      <c r="N159" s="315"/>
      <c r="O159" s="448"/>
      <c r="P159" s="460"/>
      <c r="Q159" s="252"/>
      <c r="R159" s="252"/>
      <c r="S159" s="252"/>
      <c r="T159" s="252"/>
      <c r="U159" s="252"/>
      <c r="V159" s="252"/>
      <c r="W159" s="252"/>
      <c r="X159" s="252"/>
      <c r="Y159" s="252"/>
      <c r="Z159" s="252"/>
    </row>
    <row r="160" spans="1:26" s="209" customFormat="1" ht="22.8">
      <c r="A160" s="251"/>
      <c r="B160" s="252"/>
      <c r="C160" s="252"/>
      <c r="D160" s="252"/>
      <c r="E160" s="253"/>
      <c r="F160" s="228"/>
      <c r="G160" s="224" t="s">
        <v>290</v>
      </c>
      <c r="H160" s="301">
        <v>43340</v>
      </c>
      <c r="I160" s="226"/>
      <c r="J160" s="226" t="s">
        <v>663</v>
      </c>
      <c r="K160" s="226" t="s">
        <v>663</v>
      </c>
      <c r="L160" s="314" t="s">
        <v>1009</v>
      </c>
      <c r="M160" s="314"/>
      <c r="N160" s="314"/>
      <c r="O160" s="448"/>
      <c r="P160" s="460"/>
      <c r="Q160" s="252"/>
      <c r="R160" s="252"/>
      <c r="S160" s="252"/>
      <c r="T160" s="252"/>
      <c r="U160" s="252"/>
      <c r="V160" s="252"/>
      <c r="W160" s="252"/>
      <c r="X160" s="252"/>
      <c r="Y160" s="252"/>
      <c r="Z160" s="252"/>
    </row>
    <row r="161" spans="1:26" s="209" customFormat="1" ht="91.2">
      <c r="A161" s="251"/>
      <c r="B161" s="252"/>
      <c r="C161" s="252"/>
      <c r="D161" s="252"/>
      <c r="E161" s="253">
        <v>10</v>
      </c>
      <c r="F161" s="224" t="s">
        <v>789</v>
      </c>
      <c r="G161" s="224" t="s">
        <v>790</v>
      </c>
      <c r="H161" s="306">
        <v>43340</v>
      </c>
      <c r="I161" s="226"/>
      <c r="J161" s="226" t="s">
        <v>791</v>
      </c>
      <c r="K161" s="226" t="s">
        <v>791</v>
      </c>
      <c r="L161" s="314" t="s">
        <v>1009</v>
      </c>
      <c r="M161" s="314"/>
      <c r="N161" s="314"/>
      <c r="O161" s="448"/>
      <c r="P161" s="460"/>
      <c r="Q161" s="252"/>
      <c r="R161" s="252"/>
      <c r="S161" s="252"/>
      <c r="T161" s="252"/>
      <c r="U161" s="252"/>
      <c r="V161" s="252"/>
      <c r="W161" s="252"/>
      <c r="X161" s="252"/>
      <c r="Y161" s="252"/>
      <c r="Z161" s="252"/>
    </row>
    <row r="162" spans="1:26" s="209" customFormat="1" ht="91.2">
      <c r="A162" s="251"/>
      <c r="B162" s="252"/>
      <c r="C162" s="252"/>
      <c r="D162" s="252"/>
      <c r="E162" s="253"/>
      <c r="F162" s="227"/>
      <c r="G162" s="224" t="s">
        <v>792</v>
      </c>
      <c r="H162" s="301">
        <v>43340</v>
      </c>
      <c r="I162" s="226"/>
      <c r="J162" s="226" t="s">
        <v>791</v>
      </c>
      <c r="K162" s="226" t="s">
        <v>791</v>
      </c>
      <c r="L162" s="314" t="s">
        <v>1009</v>
      </c>
      <c r="M162" s="314"/>
      <c r="N162" s="314"/>
      <c r="O162" s="448"/>
      <c r="P162" s="460"/>
      <c r="Q162" s="252"/>
      <c r="R162" s="252"/>
      <c r="S162" s="252"/>
      <c r="T162" s="252"/>
      <c r="U162" s="252"/>
      <c r="V162" s="252"/>
      <c r="W162" s="252"/>
      <c r="X162" s="252"/>
      <c r="Y162" s="252"/>
      <c r="Z162" s="252"/>
    </row>
    <row r="163" spans="1:26" s="209" customFormat="1" ht="91.2">
      <c r="A163" s="251"/>
      <c r="B163" s="252"/>
      <c r="C163" s="252"/>
      <c r="D163" s="252"/>
      <c r="E163" s="253"/>
      <c r="F163" s="227"/>
      <c r="G163" s="224" t="s">
        <v>793</v>
      </c>
      <c r="H163" s="306">
        <v>43340</v>
      </c>
      <c r="I163" s="226"/>
      <c r="J163" s="226" t="s">
        <v>791</v>
      </c>
      <c r="K163" s="226" t="s">
        <v>791</v>
      </c>
      <c r="L163" s="314" t="s">
        <v>1009</v>
      </c>
      <c r="M163" s="314"/>
      <c r="N163" s="314"/>
      <c r="O163" s="448"/>
      <c r="P163" s="460"/>
      <c r="Q163" s="252"/>
      <c r="R163" s="252"/>
      <c r="S163" s="252"/>
      <c r="T163" s="252"/>
      <c r="U163" s="252"/>
      <c r="V163" s="252"/>
      <c r="W163" s="252"/>
      <c r="X163" s="252"/>
      <c r="Y163" s="252"/>
      <c r="Z163" s="252"/>
    </row>
    <row r="164" spans="1:26" s="209" customFormat="1" ht="114">
      <c r="A164" s="251"/>
      <c r="B164" s="252"/>
      <c r="C164" s="252"/>
      <c r="D164" s="252"/>
      <c r="E164" s="253"/>
      <c r="F164" s="227"/>
      <c r="G164" s="224" t="s">
        <v>794</v>
      </c>
      <c r="H164" s="301">
        <v>43340</v>
      </c>
      <c r="I164" s="226"/>
      <c r="J164" s="226" t="s">
        <v>791</v>
      </c>
      <c r="K164" s="226" t="s">
        <v>791</v>
      </c>
      <c r="L164" s="314" t="s">
        <v>1009</v>
      </c>
      <c r="M164" s="314"/>
      <c r="N164" s="314"/>
      <c r="O164" s="448"/>
      <c r="P164" s="460"/>
      <c r="Q164" s="252"/>
      <c r="R164" s="252"/>
      <c r="S164" s="252"/>
      <c r="T164" s="252"/>
      <c r="U164" s="252"/>
      <c r="V164" s="252"/>
      <c r="W164" s="252"/>
      <c r="X164" s="252"/>
      <c r="Y164" s="252"/>
      <c r="Z164" s="252"/>
    </row>
    <row r="165" spans="1:26" s="209" customFormat="1" ht="91.2">
      <c r="A165" s="251"/>
      <c r="B165" s="252"/>
      <c r="C165" s="252"/>
      <c r="D165" s="252"/>
      <c r="E165" s="253"/>
      <c r="F165" s="227"/>
      <c r="G165" s="224" t="s">
        <v>795</v>
      </c>
      <c r="H165" s="306">
        <v>43340</v>
      </c>
      <c r="I165" s="226"/>
      <c r="J165" s="226" t="s">
        <v>779</v>
      </c>
      <c r="K165" s="226" t="s">
        <v>779</v>
      </c>
      <c r="L165" s="314" t="s">
        <v>1009</v>
      </c>
      <c r="M165" s="314"/>
      <c r="N165" s="314"/>
      <c r="O165" s="448"/>
      <c r="P165" s="460"/>
      <c r="Q165" s="252"/>
      <c r="R165" s="252"/>
      <c r="S165" s="252"/>
      <c r="T165" s="252"/>
      <c r="U165" s="252"/>
      <c r="V165" s="252"/>
      <c r="W165" s="252"/>
      <c r="X165" s="252"/>
      <c r="Y165" s="252"/>
      <c r="Z165" s="252"/>
    </row>
    <row r="166" spans="1:26" s="209" customFormat="1" ht="79.8">
      <c r="A166" s="251"/>
      <c r="B166" s="252"/>
      <c r="C166" s="252"/>
      <c r="D166" s="252"/>
      <c r="E166" s="255"/>
      <c r="F166" s="240"/>
      <c r="G166" s="261" t="s">
        <v>796</v>
      </c>
      <c r="H166" s="301">
        <v>43340</v>
      </c>
      <c r="I166" s="262"/>
      <c r="J166" s="262" t="s">
        <v>797</v>
      </c>
      <c r="K166" s="319" t="s">
        <v>797</v>
      </c>
      <c r="L166" s="316" t="s">
        <v>1009</v>
      </c>
      <c r="M166" s="316"/>
      <c r="N166" s="316"/>
      <c r="O166" s="455"/>
      <c r="P166" s="460"/>
      <c r="Q166" s="252"/>
      <c r="R166" s="252"/>
      <c r="S166" s="252"/>
      <c r="T166" s="252"/>
      <c r="U166" s="252"/>
      <c r="V166" s="252"/>
      <c r="W166" s="252"/>
      <c r="X166" s="252"/>
      <c r="Y166" s="252"/>
      <c r="Z166" s="252"/>
    </row>
    <row r="167" spans="1:26" s="209" customFormat="1" ht="22.8">
      <c r="A167" s="251"/>
      <c r="B167" s="252"/>
      <c r="C167" s="252"/>
      <c r="D167" s="252"/>
      <c r="E167" s="263">
        <v>11</v>
      </c>
      <c r="F167" s="264" t="s">
        <v>432</v>
      </c>
      <c r="G167" s="264" t="s">
        <v>798</v>
      </c>
      <c r="H167" s="306">
        <v>43340</v>
      </c>
      <c r="I167" s="265"/>
      <c r="J167" s="264" t="s">
        <v>666</v>
      </c>
      <c r="K167" s="264" t="s">
        <v>666</v>
      </c>
      <c r="L167" s="271" t="s">
        <v>1009</v>
      </c>
      <c r="M167" s="271"/>
      <c r="N167" s="271"/>
      <c r="O167" s="452"/>
      <c r="P167" s="460"/>
      <c r="Q167" s="252"/>
      <c r="R167" s="252"/>
      <c r="S167" s="252"/>
      <c r="T167" s="252"/>
      <c r="U167" s="252"/>
      <c r="V167" s="252"/>
      <c r="W167" s="252"/>
      <c r="X167" s="252"/>
      <c r="Y167" s="252"/>
      <c r="Z167" s="252"/>
    </row>
    <row r="168" spans="1:26" s="209" customFormat="1" ht="22.8">
      <c r="A168" s="251"/>
      <c r="B168" s="252"/>
      <c r="C168" s="252"/>
      <c r="D168" s="252"/>
      <c r="E168" s="263"/>
      <c r="F168" s="265"/>
      <c r="G168" s="264" t="s">
        <v>799</v>
      </c>
      <c r="H168" s="301">
        <v>43340</v>
      </c>
      <c r="I168" s="265"/>
      <c r="J168" s="264" t="s">
        <v>800</v>
      </c>
      <c r="K168" s="264" t="s">
        <v>800</v>
      </c>
      <c r="L168" s="271" t="s">
        <v>1009</v>
      </c>
      <c r="M168" s="271"/>
      <c r="N168" s="271"/>
      <c r="O168" s="452"/>
      <c r="P168" s="460"/>
      <c r="Q168" s="252"/>
      <c r="R168" s="252"/>
      <c r="S168" s="252"/>
      <c r="T168" s="252"/>
      <c r="U168" s="252"/>
      <c r="V168" s="252"/>
      <c r="W168" s="252"/>
      <c r="X168" s="252"/>
      <c r="Y168" s="252"/>
      <c r="Z168" s="252"/>
    </row>
    <row r="169" spans="1:26" s="209" customFormat="1" ht="22.8">
      <c r="A169" s="251"/>
      <c r="B169" s="252"/>
      <c r="C169" s="252"/>
      <c r="D169" s="252"/>
      <c r="E169" s="263"/>
      <c r="F169" s="265"/>
      <c r="G169" s="264" t="s">
        <v>801</v>
      </c>
      <c r="H169" s="306">
        <v>43340</v>
      </c>
      <c r="I169" s="265"/>
      <c r="J169" s="264" t="s">
        <v>802</v>
      </c>
      <c r="K169" s="264" t="s">
        <v>802</v>
      </c>
      <c r="L169" s="271" t="s">
        <v>1009</v>
      </c>
      <c r="M169" s="271"/>
      <c r="N169" s="271"/>
      <c r="O169" s="452"/>
      <c r="P169" s="460"/>
      <c r="Q169" s="252"/>
      <c r="R169" s="252"/>
      <c r="S169" s="252"/>
      <c r="T169" s="252"/>
      <c r="U169" s="252"/>
      <c r="V169" s="252"/>
      <c r="W169" s="252"/>
      <c r="X169" s="252"/>
      <c r="Y169" s="252"/>
      <c r="Z169" s="252"/>
    </row>
    <row r="170" spans="1:26" s="209" customFormat="1" ht="22.8">
      <c r="A170" s="251"/>
      <c r="B170" s="252"/>
      <c r="C170" s="252"/>
      <c r="D170" s="252"/>
      <c r="E170" s="263"/>
      <c r="F170" s="265"/>
      <c r="G170" s="264" t="s">
        <v>803</v>
      </c>
      <c r="H170" s="301">
        <v>43340</v>
      </c>
      <c r="I170" s="265"/>
      <c r="J170" s="264" t="s">
        <v>804</v>
      </c>
      <c r="K170" s="264" t="s">
        <v>804</v>
      </c>
      <c r="L170" s="271" t="s">
        <v>1009</v>
      </c>
      <c r="M170" s="271"/>
      <c r="N170" s="271"/>
      <c r="O170" s="452"/>
      <c r="P170" s="460"/>
      <c r="Q170" s="252"/>
      <c r="R170" s="252"/>
      <c r="S170" s="252"/>
      <c r="T170" s="252"/>
      <c r="U170" s="252"/>
      <c r="V170" s="252"/>
      <c r="W170" s="252"/>
      <c r="X170" s="252"/>
      <c r="Y170" s="252"/>
      <c r="Z170" s="252"/>
    </row>
    <row r="171" spans="1:26" s="209" customFormat="1" ht="22.8">
      <c r="A171" s="251"/>
      <c r="B171" s="252"/>
      <c r="C171" s="252"/>
      <c r="D171" s="252"/>
      <c r="E171" s="263"/>
      <c r="F171" s="265"/>
      <c r="G171" s="264" t="s">
        <v>805</v>
      </c>
      <c r="H171" s="306">
        <v>43340</v>
      </c>
      <c r="I171" s="265"/>
      <c r="J171" s="264" t="s">
        <v>806</v>
      </c>
      <c r="K171" s="264" t="s">
        <v>806</v>
      </c>
      <c r="L171" s="271" t="s">
        <v>1009</v>
      </c>
      <c r="M171" s="271"/>
      <c r="N171" s="271"/>
      <c r="O171" s="452"/>
      <c r="P171" s="460"/>
      <c r="Q171" s="252"/>
      <c r="R171" s="252"/>
      <c r="S171" s="252"/>
      <c r="T171" s="252"/>
      <c r="U171" s="252"/>
      <c r="V171" s="252"/>
      <c r="W171" s="252"/>
      <c r="X171" s="252"/>
      <c r="Y171" s="252"/>
      <c r="Z171" s="252"/>
    </row>
    <row r="172" spans="1:26" s="209" customFormat="1" ht="22.8">
      <c r="A172" s="251"/>
      <c r="B172" s="252"/>
      <c r="C172" s="252"/>
      <c r="D172" s="252"/>
      <c r="E172" s="263"/>
      <c r="F172" s="265"/>
      <c r="G172" s="264" t="s">
        <v>807</v>
      </c>
      <c r="H172" s="301">
        <v>43340</v>
      </c>
      <c r="I172" s="265"/>
      <c r="J172" s="264" t="s">
        <v>808</v>
      </c>
      <c r="K172" s="264" t="s">
        <v>808</v>
      </c>
      <c r="L172" s="271" t="s">
        <v>1009</v>
      </c>
      <c r="M172" s="271"/>
      <c r="N172" s="271"/>
      <c r="O172" s="452"/>
      <c r="P172" s="460"/>
      <c r="Q172" s="252"/>
      <c r="R172" s="252"/>
      <c r="S172" s="252"/>
      <c r="T172" s="252"/>
      <c r="U172" s="252"/>
      <c r="V172" s="252"/>
      <c r="W172" s="252"/>
      <c r="X172" s="252"/>
      <c r="Y172" s="252"/>
      <c r="Z172" s="252"/>
    </row>
    <row r="173" spans="1:26" s="209" customFormat="1" ht="22.8">
      <c r="A173" s="251"/>
      <c r="B173" s="252"/>
      <c r="C173" s="252"/>
      <c r="D173" s="252"/>
      <c r="E173" s="263"/>
      <c r="F173" s="265"/>
      <c r="G173" s="264" t="s">
        <v>809</v>
      </c>
      <c r="H173" s="306">
        <v>43340</v>
      </c>
      <c r="I173" s="265"/>
      <c r="J173" s="264" t="s">
        <v>978</v>
      </c>
      <c r="K173" s="264" t="s">
        <v>978</v>
      </c>
      <c r="L173" s="271" t="s">
        <v>1009</v>
      </c>
      <c r="M173" s="271"/>
      <c r="N173" s="271"/>
      <c r="O173" s="452"/>
      <c r="P173" s="460"/>
      <c r="Q173" s="252"/>
      <c r="R173" s="252"/>
      <c r="S173" s="252"/>
      <c r="T173" s="252"/>
      <c r="U173" s="252"/>
      <c r="V173" s="252"/>
      <c r="W173" s="252"/>
      <c r="X173" s="252"/>
      <c r="Y173" s="252"/>
      <c r="Z173" s="252"/>
    </row>
    <row r="174" spans="1:26" s="209" customFormat="1" ht="22.8">
      <c r="A174" s="251"/>
      <c r="B174" s="252"/>
      <c r="C174" s="252"/>
      <c r="D174" s="252"/>
      <c r="E174" s="263"/>
      <c r="F174" s="265"/>
      <c r="G174" s="264" t="s">
        <v>974</v>
      </c>
      <c r="H174" s="301">
        <v>43340</v>
      </c>
      <c r="I174" s="265"/>
      <c r="J174" s="264" t="s">
        <v>979</v>
      </c>
      <c r="K174" s="264" t="s">
        <v>979</v>
      </c>
      <c r="L174" s="271" t="s">
        <v>1009</v>
      </c>
      <c r="M174" s="271"/>
      <c r="N174" s="271"/>
      <c r="O174" s="452"/>
      <c r="P174" s="460"/>
      <c r="Q174" s="252"/>
      <c r="R174" s="252"/>
      <c r="S174" s="252"/>
      <c r="T174" s="252"/>
      <c r="U174" s="252"/>
      <c r="V174" s="252"/>
      <c r="W174" s="252"/>
      <c r="X174" s="252"/>
      <c r="Y174" s="252"/>
      <c r="Z174" s="252"/>
    </row>
    <row r="175" spans="1:26" s="209" customFormat="1" ht="22.8">
      <c r="A175" s="251"/>
      <c r="B175" s="252"/>
      <c r="C175" s="252"/>
      <c r="D175" s="252"/>
      <c r="E175" s="263"/>
      <c r="F175" s="265"/>
      <c r="G175" s="264" t="s">
        <v>975</v>
      </c>
      <c r="H175" s="306">
        <v>43340</v>
      </c>
      <c r="I175" s="265"/>
      <c r="J175" s="264" t="s">
        <v>980</v>
      </c>
      <c r="K175" s="264" t="s">
        <v>980</v>
      </c>
      <c r="L175" s="271" t="s">
        <v>1009</v>
      </c>
      <c r="M175" s="271"/>
      <c r="N175" s="271"/>
      <c r="O175" s="452"/>
      <c r="P175" s="460"/>
      <c r="Q175" s="252"/>
      <c r="R175" s="252"/>
      <c r="S175" s="252"/>
      <c r="T175" s="252"/>
      <c r="U175" s="252"/>
      <c r="V175" s="252"/>
      <c r="W175" s="252"/>
      <c r="X175" s="252"/>
      <c r="Y175" s="252"/>
      <c r="Z175" s="252"/>
    </row>
    <row r="176" spans="1:26" s="209" customFormat="1" ht="22.8">
      <c r="A176" s="251"/>
      <c r="B176" s="252"/>
      <c r="C176" s="252"/>
      <c r="D176" s="252"/>
      <c r="E176" s="263"/>
      <c r="F176" s="265"/>
      <c r="G176" s="264" t="s">
        <v>976</v>
      </c>
      <c r="H176" s="301">
        <v>43340</v>
      </c>
      <c r="I176" s="265"/>
      <c r="J176" s="264" t="s">
        <v>978</v>
      </c>
      <c r="K176" s="264" t="s">
        <v>978</v>
      </c>
      <c r="L176" s="271" t="s">
        <v>1009</v>
      </c>
      <c r="M176" s="271"/>
      <c r="N176" s="271"/>
      <c r="O176" s="452"/>
      <c r="P176" s="460"/>
      <c r="Q176" s="252"/>
      <c r="R176" s="252"/>
      <c r="S176" s="252"/>
      <c r="T176" s="252"/>
      <c r="U176" s="252"/>
      <c r="V176" s="252"/>
      <c r="W176" s="252"/>
      <c r="X176" s="252"/>
      <c r="Y176" s="252"/>
      <c r="Z176" s="252"/>
    </row>
    <row r="177" spans="1:26" s="209" customFormat="1" ht="22.8">
      <c r="A177" s="251"/>
      <c r="B177" s="252"/>
      <c r="C177" s="252"/>
      <c r="D177" s="252"/>
      <c r="E177" s="263"/>
      <c r="F177" s="265"/>
      <c r="G177" s="264" t="s">
        <v>977</v>
      </c>
      <c r="H177" s="306">
        <v>43340</v>
      </c>
      <c r="I177" s="265"/>
      <c r="J177" s="264" t="s">
        <v>978</v>
      </c>
      <c r="K177" s="264" t="s">
        <v>978</v>
      </c>
      <c r="L177" s="271" t="s">
        <v>1009</v>
      </c>
      <c r="M177" s="271"/>
      <c r="N177" s="271"/>
      <c r="O177" s="452"/>
      <c r="P177" s="460"/>
      <c r="Q177" s="252"/>
      <c r="R177" s="252"/>
      <c r="S177" s="252"/>
      <c r="T177" s="252"/>
      <c r="U177" s="252"/>
      <c r="V177" s="252"/>
      <c r="W177" s="252"/>
      <c r="X177" s="252"/>
      <c r="Y177" s="252"/>
      <c r="Z177" s="252"/>
    </row>
    <row r="178" spans="1:26" s="209" customFormat="1" ht="22.8">
      <c r="A178" s="251"/>
      <c r="B178" s="252"/>
      <c r="C178" s="252"/>
      <c r="D178" s="252"/>
      <c r="E178" s="263"/>
      <c r="F178" s="265"/>
      <c r="G178" s="264" t="s">
        <v>969</v>
      </c>
      <c r="H178" s="301">
        <v>43340</v>
      </c>
      <c r="I178" s="265"/>
      <c r="J178" s="264" t="s">
        <v>981</v>
      </c>
      <c r="K178" s="264" t="s">
        <v>981</v>
      </c>
      <c r="L178" s="271" t="s">
        <v>1009</v>
      </c>
      <c r="M178" s="271"/>
      <c r="N178" s="271"/>
      <c r="O178" s="452"/>
      <c r="P178" s="460"/>
      <c r="Q178" s="252"/>
      <c r="R178" s="252"/>
      <c r="S178" s="252"/>
      <c r="T178" s="252"/>
      <c r="U178" s="252"/>
      <c r="V178" s="252"/>
      <c r="W178" s="252"/>
      <c r="X178" s="252"/>
      <c r="Y178" s="252"/>
      <c r="Z178" s="252"/>
    </row>
    <row r="179" spans="1:26" s="209" customFormat="1" ht="22.8">
      <c r="A179" s="251"/>
      <c r="B179" s="252"/>
      <c r="C179" s="252"/>
      <c r="D179" s="252"/>
      <c r="E179" s="263"/>
      <c r="F179" s="265"/>
      <c r="G179" s="264" t="s">
        <v>970</v>
      </c>
      <c r="H179" s="306">
        <v>43340</v>
      </c>
      <c r="I179" s="265"/>
      <c r="J179" s="264" t="s">
        <v>982</v>
      </c>
      <c r="K179" s="264" t="s">
        <v>982</v>
      </c>
      <c r="L179" s="271" t="s">
        <v>1009</v>
      </c>
      <c r="M179" s="271"/>
      <c r="N179" s="271"/>
      <c r="O179" s="452"/>
      <c r="P179" s="460"/>
      <c r="Q179" s="252"/>
      <c r="R179" s="252"/>
      <c r="S179" s="252"/>
      <c r="T179" s="252"/>
      <c r="U179" s="252"/>
      <c r="V179" s="252"/>
      <c r="W179" s="252"/>
      <c r="X179" s="252"/>
      <c r="Y179" s="252"/>
      <c r="Z179" s="252"/>
    </row>
    <row r="180" spans="1:26" s="209" customFormat="1" ht="22.8">
      <c r="A180" s="251"/>
      <c r="B180" s="252"/>
      <c r="C180" s="252"/>
      <c r="D180" s="252"/>
      <c r="E180" s="263"/>
      <c r="F180" s="265"/>
      <c r="G180" s="264" t="s">
        <v>971</v>
      </c>
      <c r="H180" s="301">
        <v>43340</v>
      </c>
      <c r="I180" s="265"/>
      <c r="J180" s="264" t="s">
        <v>983</v>
      </c>
      <c r="K180" s="264" t="s">
        <v>983</v>
      </c>
      <c r="L180" s="271" t="s">
        <v>1009</v>
      </c>
      <c r="M180" s="271"/>
      <c r="N180" s="271"/>
      <c r="O180" s="452"/>
      <c r="P180" s="460"/>
      <c r="Q180" s="252"/>
      <c r="R180" s="252"/>
      <c r="S180" s="252"/>
      <c r="T180" s="252"/>
      <c r="U180" s="252"/>
      <c r="V180" s="252"/>
      <c r="W180" s="252"/>
      <c r="X180" s="252"/>
      <c r="Y180" s="252"/>
      <c r="Z180" s="252"/>
    </row>
    <row r="181" spans="1:26" s="209" customFormat="1" ht="22.8">
      <c r="A181" s="251"/>
      <c r="B181" s="252"/>
      <c r="C181" s="252"/>
      <c r="D181" s="252"/>
      <c r="E181" s="263"/>
      <c r="F181" s="265"/>
      <c r="G181" s="264" t="s">
        <v>972</v>
      </c>
      <c r="H181" s="306">
        <v>43340</v>
      </c>
      <c r="I181" s="265"/>
      <c r="J181" s="264" t="s">
        <v>984</v>
      </c>
      <c r="K181" s="264" t="s">
        <v>984</v>
      </c>
      <c r="L181" s="271" t="s">
        <v>1009</v>
      </c>
      <c r="M181" s="271"/>
      <c r="N181" s="271"/>
      <c r="O181" s="452"/>
      <c r="P181" s="460"/>
      <c r="Q181" s="252"/>
      <c r="R181" s="252"/>
      <c r="S181" s="252"/>
      <c r="T181" s="252"/>
      <c r="U181" s="252"/>
      <c r="V181" s="252"/>
      <c r="W181" s="252"/>
      <c r="X181" s="252"/>
      <c r="Y181" s="252"/>
      <c r="Z181" s="252"/>
    </row>
    <row r="182" spans="1:26" s="209" customFormat="1" ht="22.8">
      <c r="A182" s="251"/>
      <c r="B182" s="252"/>
      <c r="C182" s="252"/>
      <c r="D182" s="252"/>
      <c r="E182" s="263"/>
      <c r="F182" s="265"/>
      <c r="G182" s="264" t="s">
        <v>973</v>
      </c>
      <c r="H182" s="301">
        <v>43340</v>
      </c>
      <c r="I182" s="265"/>
      <c r="J182" s="264" t="s">
        <v>985</v>
      </c>
      <c r="K182" s="264" t="s">
        <v>985</v>
      </c>
      <c r="L182" s="271" t="s">
        <v>1009</v>
      </c>
      <c r="M182" s="271"/>
      <c r="N182" s="271"/>
      <c r="O182" s="452"/>
      <c r="P182" s="460"/>
      <c r="Q182" s="252"/>
      <c r="R182" s="252"/>
      <c r="S182" s="252"/>
      <c r="T182" s="252"/>
      <c r="U182" s="252"/>
      <c r="V182" s="252"/>
      <c r="W182" s="252"/>
      <c r="X182" s="252"/>
      <c r="Y182" s="252"/>
      <c r="Z182" s="252"/>
    </row>
    <row r="183" spans="1:26" s="209" customFormat="1" ht="22.8">
      <c r="A183" s="251"/>
      <c r="B183" s="252"/>
      <c r="C183" s="252"/>
      <c r="D183" s="252"/>
      <c r="E183" s="263"/>
      <c r="F183" s="265"/>
      <c r="G183" s="264" t="s">
        <v>449</v>
      </c>
      <c r="H183" s="306">
        <v>43340</v>
      </c>
      <c r="I183" s="265"/>
      <c r="J183" s="264" t="s">
        <v>450</v>
      </c>
      <c r="K183" s="264" t="s">
        <v>450</v>
      </c>
      <c r="L183" s="271" t="s">
        <v>1009</v>
      </c>
      <c r="M183" s="271"/>
      <c r="N183" s="271"/>
      <c r="O183" s="452"/>
      <c r="P183" s="460"/>
      <c r="Q183" s="252"/>
      <c r="R183" s="252"/>
      <c r="S183" s="252"/>
      <c r="T183" s="252"/>
      <c r="U183" s="252"/>
      <c r="V183" s="252"/>
      <c r="W183" s="252"/>
      <c r="X183" s="252"/>
      <c r="Y183" s="252"/>
      <c r="Z183" s="252"/>
    </row>
    <row r="184" spans="1:26" s="209" customFormat="1">
      <c r="A184" s="251"/>
      <c r="B184" s="252"/>
      <c r="C184" s="252"/>
      <c r="D184" s="252"/>
      <c r="E184" s="263"/>
      <c r="F184" s="265"/>
      <c r="G184" s="264" t="s">
        <v>451</v>
      </c>
      <c r="H184" s="301">
        <v>43340</v>
      </c>
      <c r="I184" s="265"/>
      <c r="J184" s="264" t="s">
        <v>452</v>
      </c>
      <c r="K184" s="264" t="s">
        <v>452</v>
      </c>
      <c r="L184" s="271" t="s">
        <v>1009</v>
      </c>
      <c r="M184" s="271"/>
      <c r="N184" s="271"/>
      <c r="O184" s="452"/>
      <c r="P184" s="460"/>
      <c r="Q184" s="252"/>
      <c r="R184" s="252"/>
      <c r="S184" s="252"/>
      <c r="T184" s="252"/>
      <c r="U184" s="252"/>
      <c r="V184" s="252"/>
      <c r="W184" s="252"/>
      <c r="X184" s="252"/>
      <c r="Y184" s="252"/>
      <c r="Z184" s="252"/>
    </row>
    <row r="185" spans="1:26" s="209" customFormat="1">
      <c r="A185" s="251"/>
      <c r="B185" s="252"/>
      <c r="C185" s="252"/>
      <c r="D185" s="252"/>
      <c r="E185" s="263"/>
      <c r="F185" s="265"/>
      <c r="G185" s="264" t="s">
        <v>453</v>
      </c>
      <c r="H185" s="306">
        <v>43340</v>
      </c>
      <c r="I185" s="265"/>
      <c r="J185" s="264" t="s">
        <v>454</v>
      </c>
      <c r="K185" s="264" t="s">
        <v>454</v>
      </c>
      <c r="L185" s="271" t="s">
        <v>1009</v>
      </c>
      <c r="M185" s="271"/>
      <c r="N185" s="271"/>
      <c r="O185" s="452"/>
      <c r="P185" s="460"/>
      <c r="Q185" s="252"/>
      <c r="R185" s="252"/>
      <c r="S185" s="252"/>
      <c r="T185" s="252"/>
      <c r="U185" s="252"/>
      <c r="V185" s="252"/>
      <c r="W185" s="252"/>
      <c r="X185" s="252"/>
      <c r="Y185" s="252"/>
      <c r="Z185" s="252"/>
    </row>
    <row r="186" spans="1:26" s="209" customFormat="1" ht="12.6" customHeight="1">
      <c r="A186" s="251"/>
      <c r="B186" s="252"/>
      <c r="C186" s="252"/>
      <c r="D186" s="252"/>
      <c r="E186" s="263"/>
      <c r="F186" s="265"/>
      <c r="G186" s="264" t="s">
        <v>455</v>
      </c>
      <c r="H186" s="301">
        <v>43340</v>
      </c>
      <c r="I186" s="265"/>
      <c r="J186" s="264" t="s">
        <v>456</v>
      </c>
      <c r="K186" s="264" t="s">
        <v>456</v>
      </c>
      <c r="L186" s="271" t="s">
        <v>1009</v>
      </c>
      <c r="M186" s="271"/>
      <c r="N186" s="271"/>
      <c r="O186" s="452"/>
      <c r="P186" s="460"/>
      <c r="Q186" s="252"/>
      <c r="R186" s="252"/>
      <c r="S186" s="252"/>
      <c r="T186" s="252"/>
      <c r="U186" s="252"/>
      <c r="V186" s="252"/>
      <c r="W186" s="252"/>
      <c r="X186" s="252"/>
      <c r="Y186" s="252"/>
      <c r="Z186" s="252"/>
    </row>
    <row r="187" spans="1:26" s="209" customFormat="1" ht="12.6" customHeight="1">
      <c r="A187" s="251"/>
      <c r="B187" s="252"/>
      <c r="C187" s="252"/>
      <c r="D187" s="252"/>
      <c r="E187" s="263"/>
      <c r="F187" s="265"/>
      <c r="G187" s="264" t="s">
        <v>457</v>
      </c>
      <c r="H187" s="306">
        <v>43340</v>
      </c>
      <c r="I187" s="265"/>
      <c r="J187" s="264" t="s">
        <v>458</v>
      </c>
      <c r="K187" s="264" t="s">
        <v>458</v>
      </c>
      <c r="L187" s="271" t="s">
        <v>1009</v>
      </c>
      <c r="M187" s="271"/>
      <c r="N187" s="271"/>
      <c r="O187" s="452"/>
      <c r="P187" s="460"/>
      <c r="Q187" s="252"/>
      <c r="R187" s="252"/>
      <c r="S187" s="252"/>
      <c r="T187" s="252"/>
      <c r="U187" s="252"/>
      <c r="V187" s="252"/>
      <c r="W187" s="252"/>
      <c r="X187" s="252"/>
      <c r="Y187" s="252"/>
      <c r="Z187" s="252"/>
    </row>
    <row r="188" spans="1:26" s="209" customFormat="1" ht="22.8">
      <c r="A188" s="251"/>
      <c r="B188" s="252"/>
      <c r="C188" s="252"/>
      <c r="D188" s="252"/>
      <c r="E188" s="263">
        <v>12</v>
      </c>
      <c r="F188" s="264" t="s">
        <v>459</v>
      </c>
      <c r="G188" s="264" t="s">
        <v>460</v>
      </c>
      <c r="H188" s="301">
        <v>43340</v>
      </c>
      <c r="I188" s="265"/>
      <c r="J188" s="264" t="s">
        <v>461</v>
      </c>
      <c r="K188" s="264" t="s">
        <v>461</v>
      </c>
      <c r="L188" s="271" t="s">
        <v>1009</v>
      </c>
      <c r="M188" s="271"/>
      <c r="N188" s="271"/>
      <c r="O188" s="452"/>
      <c r="P188" s="460"/>
      <c r="Q188" s="252"/>
      <c r="R188" s="252"/>
      <c r="S188" s="252"/>
      <c r="T188" s="252"/>
      <c r="U188" s="252"/>
      <c r="V188" s="252"/>
      <c r="W188" s="252"/>
      <c r="X188" s="252"/>
      <c r="Y188" s="252"/>
      <c r="Z188" s="252"/>
    </row>
    <row r="189" spans="1:26" s="209" customFormat="1" ht="12.6" customHeight="1">
      <c r="A189" s="251"/>
      <c r="B189" s="252"/>
      <c r="C189" s="252"/>
      <c r="D189" s="252"/>
      <c r="E189" s="263"/>
      <c r="F189" s="265"/>
      <c r="G189" s="264" t="s">
        <v>462</v>
      </c>
      <c r="H189" s="306">
        <v>43340</v>
      </c>
      <c r="I189" s="265"/>
      <c r="J189" s="264" t="s">
        <v>1212</v>
      </c>
      <c r="K189" s="264" t="s">
        <v>1212</v>
      </c>
      <c r="L189" s="271"/>
      <c r="M189" s="271" t="s">
        <v>1009</v>
      </c>
      <c r="N189" s="271"/>
      <c r="O189" s="452"/>
      <c r="P189" s="460"/>
      <c r="Q189" s="252"/>
      <c r="R189" s="252"/>
      <c r="S189" s="252"/>
      <c r="T189" s="252"/>
      <c r="U189" s="252"/>
      <c r="V189" s="252"/>
      <c r="W189" s="252"/>
      <c r="X189" s="252"/>
      <c r="Y189" s="252"/>
      <c r="Z189" s="252"/>
    </row>
    <row r="190" spans="1:26" s="209" customFormat="1" ht="29.25" customHeight="1" thickBot="1">
      <c r="A190" s="251"/>
      <c r="B190" s="252"/>
      <c r="C190" s="252"/>
      <c r="D190" s="252"/>
      <c r="E190" s="267"/>
      <c r="F190" s="268" t="s">
        <v>46</v>
      </c>
      <c r="G190" s="269"/>
      <c r="H190" s="269"/>
      <c r="I190" s="269"/>
      <c r="J190" s="270"/>
      <c r="K190" s="270"/>
      <c r="L190" s="269"/>
      <c r="M190" s="269"/>
      <c r="N190" s="269"/>
      <c r="O190" s="456"/>
      <c r="P190" s="460"/>
      <c r="Q190" s="252"/>
      <c r="R190" s="252"/>
      <c r="S190" s="252"/>
      <c r="T190" s="252"/>
      <c r="U190" s="252"/>
      <c r="V190" s="252"/>
      <c r="W190" s="252"/>
      <c r="X190" s="252"/>
      <c r="Y190" s="252"/>
      <c r="Z190" s="252"/>
    </row>
  </sheetData>
  <sheetProtection formatCells="0" formatColumns="0" formatRows="0" insertRows="0" insertHyperlinks="0" deleteRows="0" sort="0" autoFilter="0" pivotTables="0"/>
  <mergeCells count="20">
    <mergeCell ref="P11:P13"/>
    <mergeCell ref="H5:I6"/>
    <mergeCell ref="L5:O5"/>
    <mergeCell ref="L6:O6"/>
    <mergeCell ref="G2:I2"/>
    <mergeCell ref="L2:O2"/>
    <mergeCell ref="G3:I4"/>
    <mergeCell ref="L3:O3"/>
    <mergeCell ref="L4:O4"/>
    <mergeCell ref="G12:G13"/>
    <mergeCell ref="H7:I8"/>
    <mergeCell ref="L7:O7"/>
    <mergeCell ref="L11:N11"/>
    <mergeCell ref="O11:O13"/>
    <mergeCell ref="E11:F11"/>
    <mergeCell ref="H11:H13"/>
    <mergeCell ref="I11:I13"/>
    <mergeCell ref="J11:J13"/>
    <mergeCell ref="K11:K13"/>
    <mergeCell ref="E12:F12"/>
  </mergeCells>
  <hyperlinks>
    <hyperlink ref="I14" r:id="rId1" location="/" display="http://13.250.227.94:7001/ED-WEB/#/" xr:uid="{4963CFF1-2580-44D8-A771-F1181204D48C}"/>
  </hyperlinks>
  <pageMargins left="0.7" right="0.7" top="0.75" bottom="0.75" header="0.3" footer="0.3"/>
  <pageSetup paperSize="9" orientation="portrait" r:id="rId2"/>
  <headerFooter>
    <oddHeader>&amp;L&amp;G</oddHeader>
    <oddFooter>&amp;LTemplate ID: TP_TE_TestCase_V.2.0.0
Copyright&amp;RFile Name: &amp;F
Page: &amp;P/&amp;N</oddFooter>
  </headerFooter>
  <drawing r:id="rId3"/>
  <legacyDrawing r:id="rId4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5393" r:id="rId6" name="Button 1">
              <controlPr defaultSize="0" print="0" autoFill="0" autoPict="0" macro="[0]!Home">
                <anchor moveWithCells="1" sizeWithCells="1">
                  <from>
                    <xdr:col>6</xdr:col>
                    <xdr:colOff>381000</xdr:colOff>
                    <xdr:row>8</xdr:row>
                    <xdr:rowOff>236220</xdr:rowOff>
                  </from>
                  <to>
                    <xdr:col>6</xdr:col>
                    <xdr:colOff>1219200</xdr:colOff>
                    <xdr:row>9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Z38"/>
  <sheetViews>
    <sheetView showGridLines="0" topLeftCell="E25" workbookViewId="0">
      <selection activeCell="K14" sqref="K14"/>
    </sheetView>
  </sheetViews>
  <sheetFormatPr defaultColWidth="9.28515625" defaultRowHeight="11.4"/>
  <cols>
    <col min="1" max="1" width="11.85546875" style="10" hidden="1" customWidth="1"/>
    <col min="2" max="2" width="14.85546875" style="2" hidden="1" customWidth="1"/>
    <col min="3" max="3" width="17.28515625" style="2" hidden="1" customWidth="1"/>
    <col min="4" max="4" width="18.28515625" style="2" hidden="1" customWidth="1"/>
    <col min="5" max="5" width="8.42578125" style="2" customWidth="1"/>
    <col min="6" max="6" width="25.28515625" style="2" customWidth="1"/>
    <col min="7" max="7" width="39.85546875" style="2" customWidth="1"/>
    <col min="8" max="8" width="13.28515625" style="2" customWidth="1"/>
    <col min="9" max="9" width="18.42578125" style="2" customWidth="1"/>
    <col min="10" max="10" width="41.140625" style="2" customWidth="1"/>
    <col min="11" max="11" width="44.140625" style="2" customWidth="1"/>
    <col min="12" max="12" width="9.85546875" style="2" customWidth="1"/>
    <col min="13" max="13" width="9.42578125" style="2" customWidth="1"/>
    <col min="14" max="14" width="9.7109375" style="2" customWidth="1"/>
    <col min="15" max="15" width="14.28515625" style="2" customWidth="1"/>
    <col min="16" max="16" width="23.85546875" style="2" customWidth="1"/>
    <col min="17" max="16384" width="9.28515625" style="2"/>
  </cols>
  <sheetData>
    <row r="1" spans="1:26" ht="18.75" customHeight="1" thickBot="1">
      <c r="K1" s="1"/>
      <c r="L1" s="1"/>
      <c r="M1" s="1"/>
      <c r="N1" s="1"/>
    </row>
    <row r="2" spans="1:26" s="1" customFormat="1" ht="33" customHeight="1">
      <c r="A2" s="11"/>
      <c r="E2" s="32" t="s">
        <v>10</v>
      </c>
      <c r="F2" s="33"/>
      <c r="G2" s="491" t="s">
        <v>95</v>
      </c>
      <c r="H2" s="492"/>
      <c r="I2" s="493"/>
      <c r="J2" s="7"/>
      <c r="K2" s="82" t="s">
        <v>22</v>
      </c>
      <c r="L2" s="470" t="s">
        <v>75</v>
      </c>
      <c r="M2" s="471"/>
      <c r="N2" s="471"/>
      <c r="O2" s="472"/>
    </row>
    <row r="3" spans="1:26" s="1" customFormat="1" ht="22.5" customHeight="1">
      <c r="A3" s="11"/>
      <c r="E3" s="34" t="s">
        <v>9</v>
      </c>
      <c r="F3" s="35"/>
      <c r="G3" s="480" t="str">
        <f>VLOOKUP(G2,'Test Case'!F13:G65515,2,TRUE)</f>
        <v>ทดสอบการบันทึกรหัสเครื่องหมายการค้ารองในกรณี Happy Flow</v>
      </c>
      <c r="H3" s="481"/>
      <c r="I3" s="482"/>
      <c r="J3" s="8"/>
      <c r="K3" s="36" t="s">
        <v>6</v>
      </c>
      <c r="L3" s="473" t="s">
        <v>81</v>
      </c>
      <c r="M3" s="474"/>
      <c r="N3" s="474"/>
      <c r="O3" s="475"/>
    </row>
    <row r="4" spans="1:26" s="1" customFormat="1" ht="23.25" customHeight="1" thickBot="1">
      <c r="A4" s="11"/>
      <c r="E4" s="34"/>
      <c r="F4" s="35"/>
      <c r="G4" s="483"/>
      <c r="H4" s="484"/>
      <c r="I4" s="485"/>
      <c r="J4" s="8"/>
      <c r="K4" s="36" t="s">
        <v>11</v>
      </c>
      <c r="L4" s="476" t="s">
        <v>69</v>
      </c>
      <c r="M4" s="477"/>
      <c r="N4" s="477"/>
      <c r="O4" s="478"/>
    </row>
    <row r="5" spans="1:26" s="1" customFormat="1" ht="22.5" customHeight="1">
      <c r="A5" s="11"/>
      <c r="E5" s="130"/>
      <c r="F5" s="131"/>
      <c r="G5" s="128"/>
      <c r="H5" s="494"/>
      <c r="I5" s="494"/>
      <c r="J5" s="5"/>
      <c r="K5" s="36" t="s">
        <v>4</v>
      </c>
      <c r="L5" s="476" t="s">
        <v>76</v>
      </c>
      <c r="M5" s="477"/>
      <c r="N5" s="477"/>
      <c r="O5" s="478"/>
    </row>
    <row r="6" spans="1:26" s="1" customFormat="1" ht="22.5" customHeight="1">
      <c r="A6" s="11"/>
      <c r="E6" s="130"/>
      <c r="F6" s="131"/>
      <c r="G6" s="129"/>
      <c r="H6" s="494"/>
      <c r="I6" s="494"/>
      <c r="J6" s="5"/>
      <c r="K6" s="36" t="s">
        <v>55</v>
      </c>
      <c r="L6" s="479">
        <v>43330</v>
      </c>
      <c r="M6" s="477"/>
      <c r="N6" s="477"/>
      <c r="O6" s="478"/>
    </row>
    <row r="7" spans="1:26" s="1" customFormat="1" ht="22.5" customHeight="1" thickBot="1">
      <c r="A7" s="11"/>
      <c r="E7" s="130"/>
      <c r="F7" s="131"/>
      <c r="G7" s="128"/>
      <c r="H7" s="506"/>
      <c r="I7" s="507"/>
      <c r="J7" s="5"/>
      <c r="K7" s="37" t="s">
        <v>54</v>
      </c>
      <c r="L7" s="510">
        <f>G11</f>
        <v>23</v>
      </c>
      <c r="M7" s="511"/>
      <c r="N7" s="511"/>
      <c r="O7" s="512"/>
    </row>
    <row r="8" spans="1:26" s="1" customFormat="1" ht="22.5" customHeight="1">
      <c r="A8" s="11"/>
      <c r="E8" s="130"/>
      <c r="F8" s="131"/>
      <c r="G8" s="129"/>
      <c r="H8" s="507"/>
      <c r="I8" s="507"/>
      <c r="J8" s="5"/>
      <c r="K8"/>
      <c r="N8" s="9"/>
    </row>
    <row r="9" spans="1:26" s="1" customFormat="1" ht="22.5" customHeight="1">
      <c r="A9" s="11"/>
      <c r="H9" s="2"/>
      <c r="I9" s="2"/>
      <c r="J9" s="5"/>
      <c r="K9"/>
      <c r="M9" s="2"/>
      <c r="N9" s="9"/>
    </row>
    <row r="10" spans="1:26" s="1" customFormat="1" ht="29.25" customHeight="1" thickBot="1">
      <c r="A10" s="11"/>
      <c r="J10" s="5"/>
      <c r="K10" s="2"/>
      <c r="L10" s="2"/>
      <c r="M10" s="4"/>
      <c r="N10" s="4"/>
      <c r="O10" s="4"/>
    </row>
    <row r="11" spans="1:26" s="1" customFormat="1" ht="29.25" customHeight="1">
      <c r="A11" s="89"/>
      <c r="B11" s="90"/>
      <c r="C11" s="90"/>
      <c r="D11" s="90"/>
      <c r="E11" s="508" t="s">
        <v>45</v>
      </c>
      <c r="F11" s="509"/>
      <c r="G11" s="93">
        <f>COUNTA(G14:G37)</f>
        <v>23</v>
      </c>
      <c r="H11" s="488" t="s">
        <v>51</v>
      </c>
      <c r="I11" s="488" t="s">
        <v>5</v>
      </c>
      <c r="J11" s="488" t="s">
        <v>3</v>
      </c>
      <c r="K11" s="498" t="s">
        <v>13</v>
      </c>
      <c r="L11" s="501" t="s">
        <v>48</v>
      </c>
      <c r="M11" s="502"/>
      <c r="N11" s="503"/>
      <c r="O11" s="495" t="s">
        <v>52</v>
      </c>
      <c r="P11" s="3"/>
    </row>
    <row r="12" spans="1:26" s="1" customFormat="1" ht="16.5" customHeight="1" thickBot="1">
      <c r="A12" s="91"/>
      <c r="B12" s="92" t="s">
        <v>81</v>
      </c>
      <c r="C12" s="92"/>
      <c r="D12" s="92"/>
      <c r="E12" s="504">
        <f>COUNTA(E14:E37)</f>
        <v>9</v>
      </c>
      <c r="F12" s="505"/>
      <c r="G12" s="486" t="s">
        <v>44</v>
      </c>
      <c r="H12" s="489"/>
      <c r="I12" s="489"/>
      <c r="J12" s="489"/>
      <c r="K12" s="499"/>
      <c r="L12" s="94">
        <f>COUNTA(L14:L37)</f>
        <v>0</v>
      </c>
      <c r="M12" s="95">
        <f>COUNTA(M14:M37)</f>
        <v>0</v>
      </c>
      <c r="N12" s="96">
        <f>COUNTA(N14:N37)</f>
        <v>0</v>
      </c>
      <c r="O12" s="496"/>
      <c r="P12" s="3"/>
    </row>
    <row r="13" spans="1:26" s="1" customFormat="1" ht="22.5" customHeight="1" thickBot="1">
      <c r="A13" s="23" t="s">
        <v>7</v>
      </c>
      <c r="B13" s="24" t="s">
        <v>18</v>
      </c>
      <c r="C13" s="25" t="s">
        <v>19</v>
      </c>
      <c r="D13" s="25" t="s">
        <v>17</v>
      </c>
      <c r="E13" s="97" t="s">
        <v>43</v>
      </c>
      <c r="F13" s="132" t="s">
        <v>12</v>
      </c>
      <c r="G13" s="487"/>
      <c r="H13" s="490"/>
      <c r="I13" s="490"/>
      <c r="J13" s="490"/>
      <c r="K13" s="500"/>
      <c r="L13" s="99" t="s">
        <v>42</v>
      </c>
      <c r="M13" s="100" t="s">
        <v>47</v>
      </c>
      <c r="N13" s="101" t="s">
        <v>53</v>
      </c>
      <c r="O13" s="497"/>
      <c r="P13" s="3"/>
    </row>
    <row r="14" spans="1:26" s="209" customFormat="1" ht="296.39999999999998">
      <c r="A14" s="201"/>
      <c r="B14" s="202"/>
      <c r="C14" s="202"/>
      <c r="D14" s="203"/>
      <c r="E14" s="204">
        <v>1</v>
      </c>
      <c r="F14" s="205" t="s">
        <v>171</v>
      </c>
      <c r="G14" s="205" t="s">
        <v>172</v>
      </c>
      <c r="H14" s="185"/>
      <c r="I14" s="206"/>
      <c r="J14" s="205" t="s">
        <v>1053</v>
      </c>
      <c r="K14" s="211"/>
      <c r="L14" s="222"/>
      <c r="M14" s="213"/>
      <c r="N14" s="213"/>
      <c r="O14" s="207"/>
      <c r="P14" s="208"/>
      <c r="Q14" s="208"/>
      <c r="R14" s="208"/>
      <c r="S14" s="208"/>
      <c r="T14" s="208"/>
      <c r="U14" s="208"/>
      <c r="V14" s="208"/>
      <c r="W14" s="208"/>
      <c r="X14" s="208"/>
      <c r="Y14" s="208"/>
      <c r="Z14" s="208"/>
    </row>
    <row r="15" spans="1:26" s="209" customFormat="1" ht="12" customHeight="1">
      <c r="A15" s="201" t="e">
        <f t="shared" ref="A15:B15" si="0">#REF!</f>
        <v>#REF!</v>
      </c>
      <c r="B15" s="202" t="e">
        <f t="shared" si="0"/>
        <v>#REF!</v>
      </c>
      <c r="C15" s="202">
        <f>$I$5</f>
        <v>0</v>
      </c>
      <c r="D15" s="203">
        <f>$I$7</f>
        <v>0</v>
      </c>
      <c r="E15" s="210">
        <v>2</v>
      </c>
      <c r="F15" s="211" t="s">
        <v>173</v>
      </c>
      <c r="G15" s="211" t="s">
        <v>174</v>
      </c>
      <c r="H15" s="185"/>
      <c r="I15" s="212"/>
      <c r="J15" s="211" t="s">
        <v>104</v>
      </c>
      <c r="K15" s="211"/>
      <c r="L15" s="222"/>
      <c r="M15" s="213"/>
      <c r="N15" s="213"/>
      <c r="O15" s="207"/>
      <c r="P15" s="208"/>
      <c r="Q15" s="208"/>
      <c r="R15" s="208"/>
      <c r="S15" s="208"/>
      <c r="T15" s="208"/>
      <c r="U15" s="208"/>
      <c r="V15" s="208"/>
      <c r="W15" s="208"/>
      <c r="X15" s="208"/>
      <c r="Y15" s="208"/>
      <c r="Z15" s="208"/>
    </row>
    <row r="16" spans="1:26" s="209" customFormat="1" ht="12" customHeight="1">
      <c r="A16" s="201"/>
      <c r="B16" s="202"/>
      <c r="C16" s="202"/>
      <c r="D16" s="203"/>
      <c r="E16" s="210"/>
      <c r="F16" s="211"/>
      <c r="G16" s="211" t="s">
        <v>175</v>
      </c>
      <c r="H16" s="185"/>
      <c r="I16" s="212"/>
      <c r="J16" s="211" t="s">
        <v>176</v>
      </c>
      <c r="K16" s="211"/>
      <c r="L16" s="222"/>
      <c r="M16" s="213"/>
      <c r="N16" s="213"/>
      <c r="O16" s="207"/>
      <c r="P16" s="208"/>
      <c r="Q16" s="208"/>
      <c r="R16" s="208"/>
      <c r="S16" s="208"/>
      <c r="T16" s="208"/>
      <c r="U16" s="208"/>
      <c r="V16" s="208"/>
      <c r="W16" s="208"/>
      <c r="X16" s="208"/>
      <c r="Y16" s="208"/>
      <c r="Z16" s="208"/>
    </row>
    <row r="17" spans="1:26" s="209" customFormat="1" ht="12" customHeight="1">
      <c r="A17" s="201"/>
      <c r="B17" s="202"/>
      <c r="C17" s="202"/>
      <c r="D17" s="203"/>
      <c r="E17" s="210"/>
      <c r="F17" s="211"/>
      <c r="G17" s="211" t="s">
        <v>177</v>
      </c>
      <c r="H17" s="185"/>
      <c r="I17" s="212"/>
      <c r="J17" s="211" t="s">
        <v>105</v>
      </c>
      <c r="K17" s="211"/>
      <c r="L17" s="222"/>
      <c r="M17" s="213"/>
      <c r="N17" s="213"/>
      <c r="O17" s="207"/>
      <c r="P17" s="208"/>
      <c r="Q17" s="208"/>
      <c r="R17" s="208"/>
      <c r="S17" s="208"/>
      <c r="T17" s="208"/>
      <c r="U17" s="208"/>
      <c r="V17" s="208"/>
      <c r="W17" s="208"/>
      <c r="X17" s="208"/>
      <c r="Y17" s="208"/>
      <c r="Z17" s="208"/>
    </row>
    <row r="18" spans="1:26" s="209" customFormat="1" ht="12" customHeight="1">
      <c r="A18" s="201" t="e">
        <f t="shared" ref="A18:B18" si="1">#REF!</f>
        <v>#REF!</v>
      </c>
      <c r="B18" s="202" t="e">
        <f t="shared" si="1"/>
        <v>#REF!</v>
      </c>
      <c r="C18" s="202">
        <f>$I$5</f>
        <v>0</v>
      </c>
      <c r="D18" s="203">
        <f>$I$7</f>
        <v>0</v>
      </c>
      <c r="E18" s="210"/>
      <c r="F18" s="211"/>
      <c r="G18" s="211" t="s">
        <v>178</v>
      </c>
      <c r="H18" s="185"/>
      <c r="I18" s="212"/>
      <c r="J18" s="211" t="s">
        <v>106</v>
      </c>
      <c r="K18" s="211"/>
      <c r="L18" s="222"/>
      <c r="M18" s="213"/>
      <c r="N18" s="213"/>
      <c r="O18" s="207"/>
      <c r="P18" s="208"/>
      <c r="Q18" s="208"/>
      <c r="R18" s="208"/>
      <c r="S18" s="208"/>
      <c r="T18" s="208"/>
      <c r="U18" s="208"/>
      <c r="V18" s="208"/>
      <c r="W18" s="208"/>
      <c r="X18" s="208"/>
      <c r="Y18" s="208"/>
      <c r="Z18" s="208"/>
    </row>
    <row r="19" spans="1:26" s="209" customFormat="1" ht="12" customHeight="1">
      <c r="A19" s="201"/>
      <c r="B19" s="202"/>
      <c r="C19" s="202"/>
      <c r="D19" s="203"/>
      <c r="E19" s="210">
        <v>3</v>
      </c>
      <c r="F19" s="211" t="s">
        <v>179</v>
      </c>
      <c r="G19" s="211" t="s">
        <v>180</v>
      </c>
      <c r="H19" s="185"/>
      <c r="I19" s="212"/>
      <c r="J19" s="211" t="s">
        <v>108</v>
      </c>
      <c r="K19" s="211"/>
      <c r="L19" s="222"/>
      <c r="M19" s="213"/>
      <c r="N19" s="213"/>
      <c r="O19" s="207"/>
      <c r="P19" s="208"/>
      <c r="Q19" s="208"/>
      <c r="R19" s="208"/>
      <c r="S19" s="208"/>
      <c r="T19" s="208"/>
      <c r="U19" s="208"/>
      <c r="V19" s="208"/>
      <c r="W19" s="208"/>
      <c r="X19" s="208"/>
      <c r="Y19" s="208"/>
      <c r="Z19" s="208"/>
    </row>
    <row r="20" spans="1:26" s="209" customFormat="1" ht="47.25" customHeight="1">
      <c r="A20" s="201"/>
      <c r="B20" s="202"/>
      <c r="C20" s="202"/>
      <c r="D20" s="203"/>
      <c r="E20" s="210"/>
      <c r="F20" s="211"/>
      <c r="G20" s="211" t="s">
        <v>181</v>
      </c>
      <c r="H20" s="185"/>
      <c r="I20" s="212"/>
      <c r="J20" s="211" t="s">
        <v>109</v>
      </c>
      <c r="K20" s="211"/>
      <c r="L20" s="222"/>
      <c r="M20" s="213"/>
      <c r="N20" s="213"/>
      <c r="O20" s="207"/>
      <c r="P20" s="208"/>
      <c r="Q20" s="208"/>
      <c r="R20" s="208"/>
      <c r="S20" s="208"/>
      <c r="T20" s="208"/>
      <c r="U20" s="208"/>
      <c r="V20" s="208"/>
      <c r="W20" s="208"/>
      <c r="X20" s="208"/>
      <c r="Y20" s="208"/>
      <c r="Z20" s="208"/>
    </row>
    <row r="21" spans="1:26" s="209" customFormat="1" ht="12" customHeight="1">
      <c r="A21" s="201" t="e">
        <f t="shared" ref="A21:B21" si="2">#REF!</f>
        <v>#REF!</v>
      </c>
      <c r="B21" s="202" t="e">
        <f t="shared" si="2"/>
        <v>#REF!</v>
      </c>
      <c r="C21" s="202">
        <f>$I$5</f>
        <v>0</v>
      </c>
      <c r="D21" s="203">
        <f>$I$7</f>
        <v>0</v>
      </c>
      <c r="E21" s="210"/>
      <c r="F21" s="211"/>
      <c r="G21" s="211" t="s">
        <v>182</v>
      </c>
      <c r="H21" s="185"/>
      <c r="I21" s="212"/>
      <c r="J21" s="211" t="s">
        <v>183</v>
      </c>
      <c r="K21" s="211"/>
      <c r="L21" s="222"/>
      <c r="M21" s="213"/>
      <c r="N21" s="213"/>
      <c r="O21" s="207"/>
      <c r="P21" s="208"/>
      <c r="Q21" s="208"/>
      <c r="R21" s="208"/>
      <c r="S21" s="208"/>
      <c r="T21" s="208"/>
      <c r="U21" s="208"/>
      <c r="V21" s="208"/>
      <c r="W21" s="208"/>
      <c r="X21" s="208"/>
      <c r="Y21" s="208"/>
      <c r="Z21" s="208"/>
    </row>
    <row r="22" spans="1:26" s="209" customFormat="1" ht="12" customHeight="1">
      <c r="A22" s="201"/>
      <c r="B22" s="202"/>
      <c r="C22" s="202"/>
      <c r="D22" s="203"/>
      <c r="E22" s="210"/>
      <c r="F22" s="211"/>
      <c r="G22" s="211" t="s">
        <v>184</v>
      </c>
      <c r="H22" s="185"/>
      <c r="I22" s="212"/>
      <c r="J22" s="211" t="s">
        <v>185</v>
      </c>
      <c r="K22" s="211"/>
      <c r="L22" s="222"/>
      <c r="M22" s="213"/>
      <c r="N22" s="213"/>
      <c r="O22" s="207"/>
      <c r="P22" s="208"/>
      <c r="Q22" s="208"/>
      <c r="R22" s="208"/>
      <c r="S22" s="208"/>
      <c r="T22" s="208"/>
      <c r="U22" s="208"/>
      <c r="V22" s="208"/>
      <c r="W22" s="208"/>
      <c r="X22" s="208"/>
      <c r="Y22" s="208"/>
      <c r="Z22" s="208"/>
    </row>
    <row r="23" spans="1:26" s="209" customFormat="1" ht="46.5" customHeight="1">
      <c r="A23" s="201" t="e">
        <f t="shared" ref="A23:B23" si="3">#REF!</f>
        <v>#REF!</v>
      </c>
      <c r="B23" s="202" t="e">
        <f t="shared" si="3"/>
        <v>#REF!</v>
      </c>
      <c r="C23" s="202">
        <f>$I$5</f>
        <v>0</v>
      </c>
      <c r="D23" s="203">
        <f>$I$7</f>
        <v>0</v>
      </c>
      <c r="E23" s="210">
        <v>4</v>
      </c>
      <c r="F23" s="211" t="s">
        <v>186</v>
      </c>
      <c r="G23" s="211" t="s">
        <v>187</v>
      </c>
      <c r="H23" s="185"/>
      <c r="I23" s="212"/>
      <c r="J23" s="211" t="s">
        <v>188</v>
      </c>
      <c r="K23" s="211"/>
      <c r="L23" s="222"/>
      <c r="M23" s="213"/>
      <c r="N23" s="213"/>
      <c r="O23" s="207"/>
      <c r="P23" s="208"/>
      <c r="Q23" s="208"/>
      <c r="R23" s="208"/>
      <c r="S23" s="208"/>
      <c r="T23" s="208"/>
      <c r="U23" s="208"/>
      <c r="V23" s="208"/>
      <c r="W23" s="208"/>
      <c r="X23" s="208"/>
      <c r="Y23" s="208"/>
      <c r="Z23" s="208"/>
    </row>
    <row r="24" spans="1:26" s="209" customFormat="1" ht="12" customHeight="1">
      <c r="A24" s="201"/>
      <c r="B24" s="202"/>
      <c r="C24" s="202"/>
      <c r="D24" s="203"/>
      <c r="E24" s="210"/>
      <c r="F24" s="211"/>
      <c r="G24" s="211" t="s">
        <v>189</v>
      </c>
      <c r="H24" s="185"/>
      <c r="I24" s="212"/>
      <c r="J24" s="211" t="s">
        <v>190</v>
      </c>
      <c r="K24" s="211"/>
      <c r="L24" s="222"/>
      <c r="M24" s="213"/>
      <c r="N24" s="213"/>
      <c r="O24" s="207"/>
      <c r="P24" s="208"/>
      <c r="Q24" s="208"/>
      <c r="R24" s="208"/>
      <c r="S24" s="208"/>
      <c r="T24" s="208"/>
      <c r="U24" s="208"/>
      <c r="V24" s="208"/>
      <c r="W24" s="208"/>
      <c r="X24" s="208"/>
      <c r="Y24" s="208"/>
      <c r="Z24" s="208"/>
    </row>
    <row r="25" spans="1:26" s="209" customFormat="1" ht="12" customHeight="1">
      <c r="A25" s="201"/>
      <c r="B25" s="202"/>
      <c r="C25" s="202"/>
      <c r="D25" s="203"/>
      <c r="E25" s="210">
        <v>5</v>
      </c>
      <c r="F25" s="211" t="s">
        <v>191</v>
      </c>
      <c r="G25" s="211" t="s">
        <v>192</v>
      </c>
      <c r="H25" s="185"/>
      <c r="I25" s="212"/>
      <c r="J25" s="211" t="s">
        <v>193</v>
      </c>
      <c r="K25" s="211"/>
      <c r="L25" s="222"/>
      <c r="M25" s="213"/>
      <c r="N25" s="213"/>
      <c r="O25" s="207"/>
      <c r="P25" s="208"/>
      <c r="Q25" s="208"/>
      <c r="R25" s="208"/>
      <c r="S25" s="208"/>
      <c r="T25" s="208"/>
      <c r="U25" s="208"/>
      <c r="V25" s="208"/>
      <c r="W25" s="208"/>
      <c r="X25" s="208"/>
      <c r="Y25" s="208"/>
      <c r="Z25" s="208"/>
    </row>
    <row r="26" spans="1:26" s="209" customFormat="1" ht="12" customHeight="1">
      <c r="A26" s="201"/>
      <c r="B26" s="202"/>
      <c r="C26" s="202"/>
      <c r="D26" s="203"/>
      <c r="E26" s="210">
        <v>6</v>
      </c>
      <c r="F26" s="211" t="s">
        <v>194</v>
      </c>
      <c r="G26" s="211" t="s">
        <v>195</v>
      </c>
      <c r="H26" s="185"/>
      <c r="I26" s="212"/>
      <c r="J26" s="211" t="s">
        <v>188</v>
      </c>
      <c r="K26" s="211"/>
      <c r="L26" s="222"/>
      <c r="M26" s="213"/>
      <c r="N26" s="213"/>
      <c r="O26" s="207"/>
      <c r="P26" s="208"/>
      <c r="Q26" s="208"/>
      <c r="R26" s="208"/>
      <c r="S26" s="208"/>
      <c r="T26" s="208"/>
      <c r="U26" s="208"/>
      <c r="V26" s="208"/>
      <c r="W26" s="208"/>
      <c r="X26" s="208"/>
      <c r="Y26" s="208"/>
      <c r="Z26" s="208"/>
    </row>
    <row r="27" spans="1:26" s="209" customFormat="1" ht="12" customHeight="1">
      <c r="A27" s="201"/>
      <c r="B27" s="202"/>
      <c r="C27" s="202"/>
      <c r="D27" s="203"/>
      <c r="E27" s="210"/>
      <c r="F27" s="211"/>
      <c r="G27" s="211" t="s">
        <v>189</v>
      </c>
      <c r="H27" s="185"/>
      <c r="I27" s="212"/>
      <c r="J27" s="211" t="s">
        <v>196</v>
      </c>
      <c r="K27" s="211"/>
      <c r="L27" s="222"/>
      <c r="M27" s="213"/>
      <c r="N27" s="213"/>
      <c r="O27" s="207"/>
      <c r="P27" s="208"/>
      <c r="Q27" s="208"/>
      <c r="R27" s="208"/>
      <c r="S27" s="208"/>
      <c r="T27" s="208"/>
      <c r="U27" s="208"/>
      <c r="V27" s="208"/>
      <c r="W27" s="208"/>
      <c r="X27" s="208"/>
      <c r="Y27" s="208"/>
      <c r="Z27" s="208"/>
    </row>
    <row r="28" spans="1:26" s="209" customFormat="1" ht="87" customHeight="1">
      <c r="A28" s="201"/>
      <c r="B28" s="202"/>
      <c r="C28" s="202"/>
      <c r="D28" s="203"/>
      <c r="E28" s="210">
        <v>7</v>
      </c>
      <c r="F28" s="211" t="s">
        <v>197</v>
      </c>
      <c r="G28" s="211" t="s">
        <v>198</v>
      </c>
      <c r="H28" s="185"/>
      <c r="I28" s="212"/>
      <c r="J28" s="211" t="s">
        <v>123</v>
      </c>
      <c r="K28" s="211"/>
      <c r="L28" s="222"/>
      <c r="M28" s="213"/>
      <c r="N28" s="213"/>
      <c r="O28" s="207"/>
      <c r="P28" s="208"/>
      <c r="Q28" s="208"/>
      <c r="R28" s="208"/>
      <c r="S28" s="208"/>
      <c r="T28" s="208"/>
      <c r="U28" s="208"/>
      <c r="V28" s="208"/>
      <c r="W28" s="208"/>
      <c r="X28" s="208"/>
      <c r="Y28" s="208"/>
      <c r="Z28" s="208"/>
    </row>
    <row r="29" spans="1:26" s="209" customFormat="1" ht="12" customHeight="1">
      <c r="A29" s="201"/>
      <c r="B29" s="202"/>
      <c r="C29" s="202"/>
      <c r="D29" s="203"/>
      <c r="E29" s="210"/>
      <c r="F29" s="211"/>
      <c r="G29" s="211" t="s">
        <v>199</v>
      </c>
      <c r="H29" s="185"/>
      <c r="I29" s="212"/>
      <c r="J29" s="211" t="s">
        <v>125</v>
      </c>
      <c r="K29" s="211"/>
      <c r="L29" s="222"/>
      <c r="M29" s="213"/>
      <c r="N29" s="213"/>
      <c r="O29" s="207"/>
      <c r="P29" s="208"/>
      <c r="Q29" s="208"/>
      <c r="R29" s="208"/>
      <c r="S29" s="208"/>
      <c r="T29" s="208"/>
      <c r="U29" s="208"/>
      <c r="V29" s="208"/>
      <c r="W29" s="208"/>
      <c r="X29" s="208"/>
      <c r="Y29" s="208"/>
      <c r="Z29" s="208"/>
    </row>
    <row r="30" spans="1:26" s="209" customFormat="1" ht="12" customHeight="1">
      <c r="A30" s="201"/>
      <c r="B30" s="202"/>
      <c r="C30" s="202"/>
      <c r="D30" s="203"/>
      <c r="E30" s="210"/>
      <c r="F30" s="211"/>
      <c r="G30" s="211" t="s">
        <v>189</v>
      </c>
      <c r="H30" s="185"/>
      <c r="I30" s="212"/>
      <c r="J30" s="211" t="s">
        <v>200</v>
      </c>
      <c r="K30" s="211"/>
      <c r="L30" s="222"/>
      <c r="M30" s="213"/>
      <c r="N30" s="213"/>
      <c r="O30" s="207"/>
      <c r="P30" s="208"/>
      <c r="Q30" s="208"/>
      <c r="R30" s="208"/>
      <c r="S30" s="208"/>
      <c r="T30" s="208"/>
      <c r="U30" s="208"/>
      <c r="V30" s="208"/>
      <c r="W30" s="208"/>
      <c r="X30" s="208"/>
      <c r="Y30" s="208"/>
      <c r="Z30" s="208"/>
    </row>
    <row r="31" spans="1:26" s="209" customFormat="1" ht="12" customHeight="1">
      <c r="A31" s="201"/>
      <c r="B31" s="202"/>
      <c r="C31" s="202"/>
      <c r="D31" s="203"/>
      <c r="E31" s="210"/>
      <c r="F31" s="211"/>
      <c r="G31" s="211" t="s">
        <v>201</v>
      </c>
      <c r="H31" s="185"/>
      <c r="I31" s="212"/>
      <c r="J31" s="211" t="s">
        <v>202</v>
      </c>
      <c r="K31" s="211"/>
      <c r="L31" s="222"/>
      <c r="M31" s="213"/>
      <c r="N31" s="213"/>
      <c r="O31" s="207"/>
      <c r="P31" s="208"/>
      <c r="Q31" s="208"/>
      <c r="R31" s="208"/>
      <c r="S31" s="208"/>
      <c r="T31" s="208"/>
      <c r="U31" s="208"/>
      <c r="V31" s="208"/>
      <c r="W31" s="208"/>
      <c r="X31" s="208"/>
      <c r="Y31" s="208"/>
      <c r="Z31" s="208"/>
    </row>
    <row r="32" spans="1:26" s="209" customFormat="1" ht="12" customHeight="1">
      <c r="A32" s="201"/>
      <c r="B32" s="202"/>
      <c r="C32" s="202"/>
      <c r="D32" s="203"/>
      <c r="E32" s="210">
        <v>8</v>
      </c>
      <c r="F32" s="211" t="s">
        <v>203</v>
      </c>
      <c r="G32" s="211" t="s">
        <v>204</v>
      </c>
      <c r="H32" s="185"/>
      <c r="I32" s="212"/>
      <c r="J32" s="211" t="s">
        <v>131</v>
      </c>
      <c r="K32" s="211"/>
      <c r="L32" s="222"/>
      <c r="M32" s="213"/>
      <c r="N32" s="213"/>
      <c r="O32" s="207"/>
      <c r="P32" s="208"/>
      <c r="Q32" s="208"/>
      <c r="R32" s="208"/>
      <c r="S32" s="208"/>
      <c r="T32" s="208"/>
      <c r="U32" s="208"/>
      <c r="V32" s="208"/>
      <c r="W32" s="208"/>
      <c r="X32" s="208"/>
      <c r="Y32" s="208"/>
      <c r="Z32" s="208"/>
    </row>
    <row r="33" spans="1:26" s="209" customFormat="1" ht="48" customHeight="1">
      <c r="A33" s="201"/>
      <c r="B33" s="202"/>
      <c r="C33" s="202"/>
      <c r="D33" s="203"/>
      <c r="E33" s="210">
        <v>9</v>
      </c>
      <c r="F33" s="211" t="s">
        <v>205</v>
      </c>
      <c r="G33" s="211" t="s">
        <v>206</v>
      </c>
      <c r="H33" s="185"/>
      <c r="I33" s="212"/>
      <c r="J33" s="211" t="s">
        <v>207</v>
      </c>
      <c r="K33" s="211"/>
      <c r="L33" s="222"/>
      <c r="M33" s="213"/>
      <c r="N33" s="213"/>
      <c r="O33" s="207"/>
      <c r="P33" s="208"/>
      <c r="Q33" s="208"/>
      <c r="R33" s="208"/>
      <c r="S33" s="208"/>
      <c r="T33" s="208"/>
      <c r="U33" s="208"/>
      <c r="V33" s="208"/>
      <c r="W33" s="208"/>
      <c r="X33" s="208"/>
      <c r="Y33" s="208"/>
      <c r="Z33" s="208"/>
    </row>
    <row r="34" spans="1:26" s="209" customFormat="1" ht="48" customHeight="1">
      <c r="A34" s="201"/>
      <c r="B34" s="202"/>
      <c r="C34" s="202"/>
      <c r="D34" s="203"/>
      <c r="E34" s="210"/>
      <c r="F34" s="211"/>
      <c r="G34" s="211" t="s">
        <v>208</v>
      </c>
      <c r="H34" s="185"/>
      <c r="I34" s="212"/>
      <c r="J34" s="211" t="s">
        <v>136</v>
      </c>
      <c r="K34" s="211"/>
      <c r="L34" s="222"/>
      <c r="M34" s="213"/>
      <c r="N34" s="213"/>
      <c r="O34" s="207"/>
      <c r="P34" s="208"/>
      <c r="Q34" s="208"/>
      <c r="R34" s="208"/>
      <c r="S34" s="208"/>
      <c r="T34" s="208"/>
      <c r="U34" s="208"/>
      <c r="V34" s="208"/>
      <c r="W34" s="208"/>
      <c r="X34" s="208"/>
      <c r="Y34" s="208"/>
      <c r="Z34" s="208"/>
    </row>
    <row r="35" spans="1:26" s="209" customFormat="1" ht="48.75" customHeight="1">
      <c r="A35" s="201"/>
      <c r="B35" s="202"/>
      <c r="C35" s="202"/>
      <c r="D35" s="203"/>
      <c r="E35" s="210"/>
      <c r="F35" s="211"/>
      <c r="G35" s="211" t="s">
        <v>209</v>
      </c>
      <c r="H35" s="185"/>
      <c r="I35" s="212"/>
      <c r="J35" s="211" t="s">
        <v>210</v>
      </c>
      <c r="K35" s="211"/>
      <c r="L35" s="222"/>
      <c r="M35" s="213"/>
      <c r="N35" s="213"/>
      <c r="O35" s="207"/>
      <c r="P35" s="208"/>
      <c r="Q35" s="208"/>
      <c r="R35" s="208"/>
      <c r="S35" s="208"/>
      <c r="T35" s="208"/>
      <c r="U35" s="208"/>
      <c r="V35" s="208"/>
      <c r="W35" s="208"/>
      <c r="X35" s="208"/>
      <c r="Y35" s="208"/>
      <c r="Z35" s="208"/>
    </row>
    <row r="36" spans="1:26" s="209" customFormat="1" ht="12" customHeight="1" thickBot="1">
      <c r="A36" s="201"/>
      <c r="B36" s="202"/>
      <c r="C36" s="202"/>
      <c r="D36" s="203"/>
      <c r="E36" s="210"/>
      <c r="F36" s="211"/>
      <c r="G36" s="211" t="s">
        <v>211</v>
      </c>
      <c r="H36" s="185"/>
      <c r="I36" s="212"/>
      <c r="J36" s="211" t="s">
        <v>140</v>
      </c>
      <c r="K36" s="211"/>
      <c r="L36" s="222"/>
      <c r="M36" s="213"/>
      <c r="N36" s="213"/>
      <c r="O36" s="207"/>
      <c r="P36" s="208"/>
      <c r="Q36" s="208"/>
      <c r="R36" s="208"/>
      <c r="S36" s="208"/>
      <c r="T36" s="208"/>
      <c r="U36" s="208"/>
      <c r="V36" s="208"/>
      <c r="W36" s="208"/>
      <c r="X36" s="208"/>
      <c r="Y36" s="208"/>
      <c r="Z36" s="208"/>
    </row>
    <row r="37" spans="1:26" s="209" customFormat="1" ht="27" customHeight="1" thickBot="1">
      <c r="A37" s="214" t="e">
        <f t="shared" ref="A37:B37" si="4">#REF!</f>
        <v>#REF!</v>
      </c>
      <c r="B37" s="215" t="e">
        <f t="shared" si="4"/>
        <v>#REF!</v>
      </c>
      <c r="C37" s="215">
        <f>$I$5</f>
        <v>0</v>
      </c>
      <c r="D37" s="216">
        <f>$I$7</f>
        <v>0</v>
      </c>
      <c r="E37" s="217"/>
      <c r="F37" s="218" t="s">
        <v>46</v>
      </c>
      <c r="G37" s="219"/>
      <c r="H37" s="219"/>
      <c r="I37" s="219"/>
      <c r="J37" s="220"/>
      <c r="K37" s="220"/>
      <c r="L37" s="219"/>
      <c r="M37" s="219"/>
      <c r="N37" s="219"/>
      <c r="O37" s="219"/>
      <c r="P37" s="221"/>
      <c r="Q37" s="221"/>
      <c r="R37" s="221"/>
      <c r="S37" s="221"/>
      <c r="T37" s="221"/>
      <c r="U37" s="221"/>
      <c r="V37" s="221"/>
      <c r="W37" s="221"/>
      <c r="X37" s="221"/>
      <c r="Y37" s="221"/>
      <c r="Z37" s="221"/>
    </row>
    <row r="38" spans="1:26" ht="22.5" customHeight="1"/>
  </sheetData>
  <sheetProtection formatCells="0" formatColumns="0" formatRows="0" insertRows="0" insertHyperlinks="0" deleteRows="0" sort="0" autoFilter="0" pivotTables="0"/>
  <mergeCells count="19">
    <mergeCell ref="H5:I6"/>
    <mergeCell ref="L5:O5"/>
    <mergeCell ref="L6:O6"/>
    <mergeCell ref="G2:I2"/>
    <mergeCell ref="L2:O2"/>
    <mergeCell ref="G3:I4"/>
    <mergeCell ref="L3:O3"/>
    <mergeCell ref="L4:O4"/>
    <mergeCell ref="G12:G13"/>
    <mergeCell ref="H7:I8"/>
    <mergeCell ref="L7:O7"/>
    <mergeCell ref="E11:F11"/>
    <mergeCell ref="H11:H13"/>
    <mergeCell ref="I11:I13"/>
    <mergeCell ref="J11:J13"/>
    <mergeCell ref="K11:K13"/>
    <mergeCell ref="L11:N11"/>
    <mergeCell ref="O11:O13"/>
    <mergeCell ref="E12:F12"/>
  </mergeCells>
  <dataValidations count="1">
    <dataValidation type="list" allowBlank="1" showInputMessage="1" showErrorMessage="1" sqref="O14" xr:uid="{00000000-0002-0000-0900-000000000000}">
      <formula1>"Pass,Failed"</formula1>
    </dataValidation>
  </dataValidations>
  <pageMargins left="0.7" right="0.7" top="0.75" bottom="0.75" header="0.3" footer="0.3"/>
  <pageSetup paperSize="9" orientation="portrait" r:id="rId1"/>
  <headerFooter>
    <oddHeader>&amp;L&amp;G</oddHeader>
    <oddFooter>&amp;LTemplate ID: TP_TE_TestCase_V.2.0.0
Copyright&amp;RFile Name: &amp;F
Page: &amp;P/&amp;N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6417" r:id="rId5" name="Button 1">
              <controlPr defaultSize="0" print="0" autoFill="0" autoPict="0" macro="[0]!Home">
                <anchor moveWithCells="1" sizeWithCells="1">
                  <from>
                    <xdr:col>6</xdr:col>
                    <xdr:colOff>381000</xdr:colOff>
                    <xdr:row>8</xdr:row>
                    <xdr:rowOff>236220</xdr:rowOff>
                  </from>
                  <to>
                    <xdr:col>6</xdr:col>
                    <xdr:colOff>1219200</xdr:colOff>
                    <xdr:row>9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Z220"/>
  <sheetViews>
    <sheetView showGridLines="0" topLeftCell="E25" zoomScaleNormal="100" workbookViewId="0">
      <selection activeCell="P210" sqref="P210"/>
    </sheetView>
  </sheetViews>
  <sheetFormatPr defaultColWidth="9.28515625" defaultRowHeight="11.4" outlineLevelRow="1"/>
  <cols>
    <col min="1" max="1" width="11.85546875" style="10" hidden="1" customWidth="1"/>
    <col min="2" max="2" width="14.85546875" style="2" hidden="1" customWidth="1"/>
    <col min="3" max="3" width="17.28515625" style="2" hidden="1" customWidth="1"/>
    <col min="4" max="4" width="18.28515625" style="2" hidden="1" customWidth="1"/>
    <col min="5" max="5" width="8.42578125" style="2" customWidth="1"/>
    <col min="6" max="6" width="25.28515625" style="2" customWidth="1"/>
    <col min="7" max="7" width="39.85546875" style="2" customWidth="1"/>
    <col min="8" max="8" width="13.28515625" style="2" customWidth="1"/>
    <col min="9" max="9" width="18.42578125" style="2" customWidth="1"/>
    <col min="10" max="10" width="41.140625" style="2" customWidth="1"/>
    <col min="11" max="11" width="31.140625" style="2" customWidth="1"/>
    <col min="12" max="12" width="9.85546875" style="2" customWidth="1"/>
    <col min="13" max="13" width="9.42578125" style="2" customWidth="1"/>
    <col min="14" max="14" width="9.7109375" style="2" customWidth="1"/>
    <col min="15" max="15" width="14.28515625" style="2" customWidth="1"/>
    <col min="16" max="16" width="23.85546875" style="2" customWidth="1"/>
    <col min="17" max="16384" width="9.28515625" style="2"/>
  </cols>
  <sheetData>
    <row r="1" spans="1:26" ht="18.75" customHeight="1" thickBot="1">
      <c r="K1" s="1"/>
      <c r="L1" s="1"/>
      <c r="M1" s="1"/>
      <c r="N1" s="1"/>
    </row>
    <row r="2" spans="1:26" s="1" customFormat="1" ht="33" customHeight="1">
      <c r="A2" s="11"/>
      <c r="E2" s="32" t="s">
        <v>10</v>
      </c>
      <c r="F2" s="33"/>
      <c r="G2" s="491" t="s">
        <v>96</v>
      </c>
      <c r="H2" s="492"/>
      <c r="I2" s="493"/>
      <c r="J2" s="7"/>
      <c r="K2" s="82" t="s">
        <v>22</v>
      </c>
      <c r="L2" s="470" t="s">
        <v>75</v>
      </c>
      <c r="M2" s="471"/>
      <c r="N2" s="471"/>
      <c r="O2" s="472"/>
    </row>
    <row r="3" spans="1:26" s="1" customFormat="1" ht="22.5" customHeight="1">
      <c r="A3" s="11"/>
      <c r="E3" s="34" t="s">
        <v>9</v>
      </c>
      <c r="F3" s="35"/>
      <c r="G3" s="480" t="str">
        <f>VLOOKUP(G2,'Test Case'!F13:G65515,2,TRUE)</f>
        <v>ทดสอบการบันทึกรหัสเครื่องหมายการค้ารองในกรณี Validate ข้อมูล</v>
      </c>
      <c r="H3" s="481"/>
      <c r="I3" s="482"/>
      <c r="J3" s="8"/>
      <c r="K3" s="36" t="s">
        <v>6</v>
      </c>
      <c r="L3" s="473" t="s">
        <v>81</v>
      </c>
      <c r="M3" s="474"/>
      <c r="N3" s="474"/>
      <c r="O3" s="475"/>
    </row>
    <row r="4" spans="1:26" s="1" customFormat="1" ht="23.25" customHeight="1" thickBot="1">
      <c r="A4" s="11"/>
      <c r="E4" s="34"/>
      <c r="F4" s="35"/>
      <c r="G4" s="483"/>
      <c r="H4" s="484"/>
      <c r="I4" s="485"/>
      <c r="J4" s="8"/>
      <c r="K4" s="36" t="s">
        <v>11</v>
      </c>
      <c r="L4" s="476" t="s">
        <v>69</v>
      </c>
      <c r="M4" s="477"/>
      <c r="N4" s="477"/>
      <c r="O4" s="478"/>
    </row>
    <row r="5" spans="1:26" s="1" customFormat="1" ht="22.5" customHeight="1">
      <c r="A5" s="11"/>
      <c r="E5" s="130"/>
      <c r="F5" s="131"/>
      <c r="G5" s="128"/>
      <c r="H5" s="494"/>
      <c r="I5" s="494"/>
      <c r="J5" s="5"/>
      <c r="K5" s="36" t="s">
        <v>4</v>
      </c>
      <c r="L5" s="476" t="s">
        <v>76</v>
      </c>
      <c r="M5" s="477"/>
      <c r="N5" s="477"/>
      <c r="O5" s="478"/>
    </row>
    <row r="6" spans="1:26" s="1" customFormat="1" ht="22.5" customHeight="1">
      <c r="A6" s="11"/>
      <c r="E6" s="130"/>
      <c r="F6" s="131"/>
      <c r="G6" s="129"/>
      <c r="H6" s="494"/>
      <c r="I6" s="494"/>
      <c r="J6" s="5"/>
      <c r="K6" s="36" t="s">
        <v>55</v>
      </c>
      <c r="L6" s="479">
        <v>43330</v>
      </c>
      <c r="M6" s="477"/>
      <c r="N6" s="477"/>
      <c r="O6" s="478"/>
    </row>
    <row r="7" spans="1:26" s="1" customFormat="1" ht="22.5" customHeight="1" thickBot="1">
      <c r="A7" s="11"/>
      <c r="E7" s="130"/>
      <c r="F7" s="131"/>
      <c r="G7" s="128"/>
      <c r="H7" s="506"/>
      <c r="I7" s="507"/>
      <c r="J7" s="5"/>
      <c r="K7" s="37" t="s">
        <v>54</v>
      </c>
      <c r="L7" s="510">
        <f>G11</f>
        <v>206</v>
      </c>
      <c r="M7" s="511"/>
      <c r="N7" s="511"/>
      <c r="O7" s="512"/>
    </row>
    <row r="8" spans="1:26" s="1" customFormat="1" ht="22.5" customHeight="1">
      <c r="A8" s="11"/>
      <c r="E8" s="130"/>
      <c r="F8" s="131"/>
      <c r="G8" s="129"/>
      <c r="H8" s="507"/>
      <c r="I8" s="507"/>
      <c r="J8" s="5"/>
      <c r="K8"/>
      <c r="N8" s="9"/>
    </row>
    <row r="9" spans="1:26" s="1" customFormat="1" ht="22.5" customHeight="1">
      <c r="A9" s="11"/>
      <c r="H9" s="2"/>
      <c r="I9" s="2"/>
      <c r="J9" s="5"/>
      <c r="K9"/>
      <c r="M9" s="2"/>
      <c r="N9" s="9"/>
    </row>
    <row r="10" spans="1:26" s="1" customFormat="1" ht="29.25" customHeight="1" thickBot="1">
      <c r="A10" s="11"/>
      <c r="J10" s="5"/>
      <c r="K10" s="2"/>
      <c r="L10" s="2"/>
      <c r="M10" s="4"/>
      <c r="N10" s="4"/>
      <c r="O10" s="4"/>
    </row>
    <row r="11" spans="1:26" s="1" customFormat="1" ht="29.25" customHeight="1">
      <c r="A11" s="89"/>
      <c r="B11" s="90"/>
      <c r="C11" s="90"/>
      <c r="D11" s="90"/>
      <c r="E11" s="508" t="s">
        <v>45</v>
      </c>
      <c r="F11" s="509"/>
      <c r="G11" s="93">
        <f>COUNTA(G14:G518)</f>
        <v>206</v>
      </c>
      <c r="H11" s="488" t="s">
        <v>51</v>
      </c>
      <c r="I11" s="488" t="s">
        <v>5</v>
      </c>
      <c r="J11" s="488" t="s">
        <v>3</v>
      </c>
      <c r="K11" s="498" t="s">
        <v>13</v>
      </c>
      <c r="L11" s="501" t="s">
        <v>48</v>
      </c>
      <c r="M11" s="502"/>
      <c r="N11" s="503"/>
      <c r="O11" s="495" t="s">
        <v>52</v>
      </c>
      <c r="P11" s="3"/>
    </row>
    <row r="12" spans="1:26" s="1" customFormat="1" ht="16.5" customHeight="1" thickBot="1">
      <c r="A12" s="91"/>
      <c r="B12" s="92" t="s">
        <v>81</v>
      </c>
      <c r="C12" s="92"/>
      <c r="D12" s="92"/>
      <c r="E12" s="504">
        <f>COUNTA(E14:E518)</f>
        <v>13</v>
      </c>
      <c r="F12" s="505"/>
      <c r="G12" s="486" t="s">
        <v>44</v>
      </c>
      <c r="H12" s="489"/>
      <c r="I12" s="489"/>
      <c r="J12" s="489"/>
      <c r="K12" s="499"/>
      <c r="L12" s="94">
        <f>COUNTA(L14:L518)</f>
        <v>161</v>
      </c>
      <c r="M12" s="95">
        <f>COUNTA(M14:M518)</f>
        <v>24</v>
      </c>
      <c r="N12" s="96">
        <f>COUNTA(N14:N518)</f>
        <v>20</v>
      </c>
      <c r="O12" s="496"/>
      <c r="P12" s="3"/>
    </row>
    <row r="13" spans="1:26" s="1" customFormat="1" ht="22.5" customHeight="1" thickBot="1">
      <c r="A13" s="23" t="s">
        <v>7</v>
      </c>
      <c r="B13" s="24" t="s">
        <v>18</v>
      </c>
      <c r="C13" s="25" t="s">
        <v>19</v>
      </c>
      <c r="D13" s="25" t="s">
        <v>17</v>
      </c>
      <c r="E13" s="97" t="s">
        <v>43</v>
      </c>
      <c r="F13" s="132" t="s">
        <v>12</v>
      </c>
      <c r="G13" s="487"/>
      <c r="H13" s="490"/>
      <c r="I13" s="490"/>
      <c r="J13" s="490"/>
      <c r="K13" s="500"/>
      <c r="L13" s="99" t="s">
        <v>42</v>
      </c>
      <c r="M13" s="100" t="s">
        <v>47</v>
      </c>
      <c r="N13" s="101" t="s">
        <v>53</v>
      </c>
      <c r="O13" s="497"/>
      <c r="P13" s="3"/>
    </row>
    <row r="14" spans="1:26" s="276" customFormat="1" ht="316.5" customHeight="1">
      <c r="A14" s="272"/>
      <c r="B14" s="273"/>
      <c r="C14" s="273"/>
      <c r="D14" s="274"/>
      <c r="E14" s="320">
        <v>1</v>
      </c>
      <c r="F14" s="321" t="s">
        <v>811</v>
      </c>
      <c r="G14" s="321" t="s">
        <v>812</v>
      </c>
      <c r="H14" s="301">
        <v>43327</v>
      </c>
      <c r="I14" s="322" t="s">
        <v>1014</v>
      </c>
      <c r="J14" s="205" t="s">
        <v>813</v>
      </c>
      <c r="K14" s="205" t="s">
        <v>813</v>
      </c>
      <c r="L14" s="303" t="s">
        <v>1009</v>
      </c>
      <c r="M14" s="303"/>
      <c r="N14" s="303"/>
      <c r="O14" s="323"/>
      <c r="P14" s="275"/>
      <c r="Q14" s="275"/>
      <c r="R14" s="275"/>
      <c r="S14" s="275"/>
      <c r="T14" s="275"/>
      <c r="U14" s="275"/>
      <c r="V14" s="275"/>
      <c r="W14" s="275"/>
      <c r="X14" s="275"/>
      <c r="Y14" s="275"/>
      <c r="Z14" s="275"/>
    </row>
    <row r="15" spans="1:26" s="276" customFormat="1" ht="45.6">
      <c r="A15" s="272" t="e">
        <f t="shared" ref="A15:B15" si="0">#REF!</f>
        <v>#REF!</v>
      </c>
      <c r="B15" s="273" t="e">
        <f t="shared" si="0"/>
        <v>#REF!</v>
      </c>
      <c r="C15" s="273">
        <f>$I$5</f>
        <v>0</v>
      </c>
      <c r="D15" s="274">
        <f>$I$7</f>
        <v>0</v>
      </c>
      <c r="E15" s="324">
        <v>2</v>
      </c>
      <c r="F15" s="211" t="s">
        <v>814</v>
      </c>
      <c r="G15" s="321" t="s">
        <v>815</v>
      </c>
      <c r="H15" s="301">
        <v>43327</v>
      </c>
      <c r="I15" s="211"/>
      <c r="J15" s="211" t="s">
        <v>1037</v>
      </c>
      <c r="K15" s="238" t="s">
        <v>1011</v>
      </c>
      <c r="L15" s="303" t="s">
        <v>1009</v>
      </c>
      <c r="M15" s="303"/>
      <c r="N15" s="303"/>
      <c r="O15" s="238"/>
      <c r="P15" s="275"/>
      <c r="Q15" s="275"/>
      <c r="R15" s="275"/>
      <c r="S15" s="275"/>
      <c r="T15" s="275"/>
      <c r="U15" s="275"/>
      <c r="V15" s="275"/>
      <c r="W15" s="275"/>
      <c r="X15" s="275"/>
      <c r="Y15" s="275"/>
      <c r="Z15" s="275"/>
    </row>
    <row r="16" spans="1:26" s="276" customFormat="1">
      <c r="A16" s="272"/>
      <c r="B16" s="273"/>
      <c r="C16" s="273"/>
      <c r="D16" s="274"/>
      <c r="E16" s="324"/>
      <c r="F16" s="325"/>
      <c r="G16" s="321" t="s">
        <v>644</v>
      </c>
      <c r="H16" s="301">
        <v>43327</v>
      </c>
      <c r="I16" s="211"/>
      <c r="J16" s="238" t="s">
        <v>282</v>
      </c>
      <c r="K16" s="238"/>
      <c r="L16" s="303" t="s">
        <v>1009</v>
      </c>
      <c r="M16" s="303"/>
      <c r="N16" s="303"/>
      <c r="O16" s="238"/>
      <c r="P16" s="275"/>
      <c r="Q16" s="275"/>
      <c r="R16" s="275"/>
      <c r="S16" s="275"/>
      <c r="T16" s="275"/>
      <c r="U16" s="275"/>
      <c r="V16" s="275"/>
      <c r="W16" s="275"/>
      <c r="X16" s="275"/>
      <c r="Y16" s="275"/>
      <c r="Z16" s="275"/>
    </row>
    <row r="17" spans="1:26" s="276" customFormat="1" ht="34.200000000000003">
      <c r="A17" s="272"/>
      <c r="B17" s="273"/>
      <c r="C17" s="273"/>
      <c r="D17" s="274"/>
      <c r="E17" s="324"/>
      <c r="F17" s="325"/>
      <c r="G17" s="321" t="s">
        <v>816</v>
      </c>
      <c r="H17" s="301">
        <v>43327</v>
      </c>
      <c r="I17" s="211"/>
      <c r="J17" s="227" t="s">
        <v>1023</v>
      </c>
      <c r="K17" s="227" t="s">
        <v>1023</v>
      </c>
      <c r="L17" s="303" t="s">
        <v>1009</v>
      </c>
      <c r="M17" s="303"/>
      <c r="N17" s="303"/>
      <c r="O17" s="238"/>
      <c r="P17" s="275"/>
      <c r="Q17" s="275"/>
      <c r="R17" s="275"/>
      <c r="S17" s="275"/>
      <c r="T17" s="275"/>
      <c r="U17" s="275"/>
      <c r="V17" s="275"/>
      <c r="W17" s="275"/>
      <c r="X17" s="275"/>
      <c r="Y17" s="275"/>
      <c r="Z17" s="275"/>
    </row>
    <row r="18" spans="1:26" s="276" customFormat="1">
      <c r="A18" s="272"/>
      <c r="B18" s="273"/>
      <c r="C18" s="273"/>
      <c r="D18" s="274"/>
      <c r="E18" s="324"/>
      <c r="F18" s="325"/>
      <c r="G18" s="321" t="s">
        <v>644</v>
      </c>
      <c r="H18" s="301">
        <v>43327</v>
      </c>
      <c r="I18" s="211"/>
      <c r="J18" s="238" t="s">
        <v>282</v>
      </c>
      <c r="K18" s="238"/>
      <c r="L18" s="303" t="s">
        <v>1009</v>
      </c>
      <c r="M18" s="303"/>
      <c r="N18" s="303"/>
      <c r="O18" s="238"/>
      <c r="P18" s="275"/>
      <c r="Q18" s="275"/>
      <c r="R18" s="275"/>
      <c r="S18" s="275"/>
      <c r="T18" s="275"/>
      <c r="U18" s="275"/>
      <c r="V18" s="275"/>
      <c r="W18" s="275"/>
      <c r="X18" s="275"/>
      <c r="Y18" s="275"/>
      <c r="Z18" s="275"/>
    </row>
    <row r="19" spans="1:26" s="276" customFormat="1" ht="45.6">
      <c r="A19" s="272" t="e">
        <f t="shared" ref="A19:B48" si="1">#REF!</f>
        <v>#REF!</v>
      </c>
      <c r="B19" s="273" t="e">
        <f t="shared" si="1"/>
        <v>#REF!</v>
      </c>
      <c r="C19" s="273">
        <f t="shared" ref="C19:C48" si="2">$I$5</f>
        <v>0</v>
      </c>
      <c r="D19" s="274">
        <f t="shared" ref="D19:D48" si="3">$I$7</f>
        <v>0</v>
      </c>
      <c r="E19" s="324">
        <v>3</v>
      </c>
      <c r="F19" s="211" t="s">
        <v>817</v>
      </c>
      <c r="G19" s="321" t="s">
        <v>818</v>
      </c>
      <c r="H19" s="301">
        <v>43327</v>
      </c>
      <c r="I19" s="211"/>
      <c r="J19" s="211" t="s">
        <v>646</v>
      </c>
      <c r="K19" s="238" t="s">
        <v>1015</v>
      </c>
      <c r="L19" s="303"/>
      <c r="M19" s="303" t="s">
        <v>1009</v>
      </c>
      <c r="N19" s="303"/>
      <c r="O19" s="238"/>
      <c r="P19" s="275"/>
      <c r="Q19" s="275"/>
      <c r="R19" s="275"/>
      <c r="S19" s="275"/>
      <c r="T19" s="275"/>
      <c r="U19" s="275"/>
      <c r="V19" s="275"/>
      <c r="W19" s="275"/>
      <c r="X19" s="275"/>
      <c r="Y19" s="275"/>
      <c r="Z19" s="275"/>
    </row>
    <row r="20" spans="1:26" s="276" customFormat="1" ht="45.6">
      <c r="A20" s="272" t="e">
        <f t="shared" si="1"/>
        <v>#REF!</v>
      </c>
      <c r="B20" s="273" t="e">
        <f t="shared" si="1"/>
        <v>#REF!</v>
      </c>
      <c r="C20" s="273">
        <f t="shared" si="2"/>
        <v>0</v>
      </c>
      <c r="D20" s="274">
        <f t="shared" si="3"/>
        <v>0</v>
      </c>
      <c r="E20" s="324"/>
      <c r="F20" s="325"/>
      <c r="G20" s="321" t="s">
        <v>819</v>
      </c>
      <c r="H20" s="301">
        <v>43327</v>
      </c>
      <c r="I20" s="211"/>
      <c r="J20" s="211" t="s">
        <v>648</v>
      </c>
      <c r="K20" s="211" t="s">
        <v>648</v>
      </c>
      <c r="L20" s="303" t="s">
        <v>1009</v>
      </c>
      <c r="M20" s="303"/>
      <c r="N20" s="303"/>
      <c r="O20" s="238"/>
      <c r="P20" s="275"/>
      <c r="Q20" s="275"/>
      <c r="R20" s="275"/>
      <c r="S20" s="275"/>
      <c r="T20" s="275"/>
      <c r="U20" s="275"/>
      <c r="V20" s="275"/>
      <c r="W20" s="275"/>
      <c r="X20" s="275"/>
      <c r="Y20" s="275"/>
      <c r="Z20" s="275"/>
    </row>
    <row r="21" spans="1:26" s="276" customFormat="1" ht="45.6">
      <c r="A21" s="272" t="e">
        <f t="shared" si="1"/>
        <v>#REF!</v>
      </c>
      <c r="B21" s="273" t="e">
        <f t="shared" si="1"/>
        <v>#REF!</v>
      </c>
      <c r="C21" s="273">
        <f t="shared" si="2"/>
        <v>0</v>
      </c>
      <c r="D21" s="274">
        <f t="shared" si="3"/>
        <v>0</v>
      </c>
      <c r="E21" s="324"/>
      <c r="F21" s="325"/>
      <c r="G21" s="321" t="s">
        <v>820</v>
      </c>
      <c r="H21" s="301">
        <v>43327</v>
      </c>
      <c r="I21" s="211"/>
      <c r="J21" s="211" t="s">
        <v>650</v>
      </c>
      <c r="K21" s="211" t="s">
        <v>650</v>
      </c>
      <c r="L21" s="303" t="s">
        <v>1009</v>
      </c>
      <c r="M21" s="303"/>
      <c r="N21" s="303"/>
      <c r="O21" s="238"/>
      <c r="P21" s="275"/>
      <c r="Q21" s="275"/>
      <c r="R21" s="275"/>
      <c r="S21" s="275"/>
      <c r="T21" s="275"/>
      <c r="U21" s="275"/>
      <c r="V21" s="275"/>
      <c r="W21" s="275"/>
      <c r="X21" s="275"/>
      <c r="Y21" s="275"/>
      <c r="Z21" s="275"/>
    </row>
    <row r="22" spans="1:26" s="276" customFormat="1" ht="45.6">
      <c r="A22" s="272" t="e">
        <f t="shared" si="1"/>
        <v>#REF!</v>
      </c>
      <c r="B22" s="273" t="e">
        <f t="shared" si="1"/>
        <v>#REF!</v>
      </c>
      <c r="C22" s="273">
        <f t="shared" si="2"/>
        <v>0</v>
      </c>
      <c r="D22" s="274">
        <f t="shared" si="3"/>
        <v>0</v>
      </c>
      <c r="E22" s="324"/>
      <c r="F22" s="325"/>
      <c r="G22" s="321" t="s">
        <v>821</v>
      </c>
      <c r="H22" s="301">
        <v>43327</v>
      </c>
      <c r="I22" s="211"/>
      <c r="J22" s="211" t="s">
        <v>652</v>
      </c>
      <c r="K22" s="211" t="s">
        <v>652</v>
      </c>
      <c r="L22" s="303" t="s">
        <v>1009</v>
      </c>
      <c r="M22" s="303"/>
      <c r="N22" s="303"/>
      <c r="O22" s="238"/>
      <c r="P22" s="275"/>
      <c r="Q22" s="275"/>
      <c r="R22" s="275"/>
      <c r="S22" s="275"/>
      <c r="T22" s="275"/>
      <c r="U22" s="275"/>
      <c r="V22" s="275"/>
      <c r="W22" s="275"/>
      <c r="X22" s="275"/>
      <c r="Y22" s="275"/>
      <c r="Z22" s="275"/>
    </row>
    <row r="23" spans="1:26" s="276" customFormat="1" ht="45.6">
      <c r="A23" s="272" t="e">
        <f t="shared" si="1"/>
        <v>#REF!</v>
      </c>
      <c r="B23" s="273" t="e">
        <f t="shared" si="1"/>
        <v>#REF!</v>
      </c>
      <c r="C23" s="273">
        <f t="shared" si="2"/>
        <v>0</v>
      </c>
      <c r="D23" s="274">
        <f t="shared" si="3"/>
        <v>0</v>
      </c>
      <c r="E23" s="324"/>
      <c r="F23" s="325"/>
      <c r="G23" s="321" t="s">
        <v>822</v>
      </c>
      <c r="H23" s="301">
        <v>43327</v>
      </c>
      <c r="I23" s="211"/>
      <c r="J23" s="211" t="s">
        <v>654</v>
      </c>
      <c r="K23" s="211" t="s">
        <v>654</v>
      </c>
      <c r="L23" s="303" t="s">
        <v>1009</v>
      </c>
      <c r="M23" s="303"/>
      <c r="N23" s="303"/>
      <c r="O23" s="238"/>
      <c r="P23" s="275"/>
      <c r="Q23" s="275"/>
      <c r="R23" s="275"/>
      <c r="S23" s="275"/>
      <c r="T23" s="275"/>
      <c r="U23" s="275"/>
      <c r="V23" s="275"/>
      <c r="W23" s="275"/>
      <c r="X23" s="275"/>
      <c r="Y23" s="275"/>
      <c r="Z23" s="275"/>
    </row>
    <row r="24" spans="1:26" s="276" customFormat="1" ht="57">
      <c r="A24" s="272" t="e">
        <f t="shared" si="1"/>
        <v>#REF!</v>
      </c>
      <c r="B24" s="273" t="e">
        <f t="shared" si="1"/>
        <v>#REF!</v>
      </c>
      <c r="C24" s="273">
        <f t="shared" si="2"/>
        <v>0</v>
      </c>
      <c r="D24" s="274">
        <f t="shared" si="3"/>
        <v>0</v>
      </c>
      <c r="E24" s="324"/>
      <c r="F24" s="325"/>
      <c r="G24" s="321" t="s">
        <v>823</v>
      </c>
      <c r="H24" s="301">
        <v>43327</v>
      </c>
      <c r="I24" s="211"/>
      <c r="J24" s="211" t="s">
        <v>656</v>
      </c>
      <c r="K24" s="211" t="s">
        <v>656</v>
      </c>
      <c r="L24" s="303" t="s">
        <v>1009</v>
      </c>
      <c r="M24" s="303"/>
      <c r="N24" s="303"/>
      <c r="O24" s="238"/>
      <c r="P24" s="275"/>
      <c r="Q24" s="275"/>
      <c r="R24" s="275"/>
      <c r="S24" s="275"/>
      <c r="T24" s="275"/>
      <c r="U24" s="275"/>
      <c r="V24" s="275"/>
      <c r="W24" s="275"/>
      <c r="X24" s="275"/>
      <c r="Y24" s="275"/>
      <c r="Z24" s="275"/>
    </row>
    <row r="25" spans="1:26" s="276" customFormat="1" ht="45.6">
      <c r="A25" s="272" t="e">
        <f t="shared" si="1"/>
        <v>#REF!</v>
      </c>
      <c r="B25" s="273" t="e">
        <f t="shared" si="1"/>
        <v>#REF!</v>
      </c>
      <c r="C25" s="273">
        <f t="shared" si="2"/>
        <v>0</v>
      </c>
      <c r="D25" s="274">
        <f t="shared" si="3"/>
        <v>0</v>
      </c>
      <c r="E25" s="324"/>
      <c r="F25" s="325"/>
      <c r="G25" s="321" t="s">
        <v>824</v>
      </c>
      <c r="H25" s="301">
        <v>43327</v>
      </c>
      <c r="I25" s="211"/>
      <c r="J25" s="211" t="s">
        <v>658</v>
      </c>
      <c r="K25" s="211" t="s">
        <v>658</v>
      </c>
      <c r="L25" s="303" t="s">
        <v>1009</v>
      </c>
      <c r="M25" s="303"/>
      <c r="N25" s="303"/>
      <c r="O25" s="238"/>
      <c r="P25" s="275"/>
      <c r="Q25" s="275"/>
      <c r="R25" s="275"/>
      <c r="S25" s="275"/>
      <c r="T25" s="275"/>
      <c r="U25" s="275"/>
      <c r="V25" s="275"/>
      <c r="W25" s="275"/>
      <c r="X25" s="275"/>
      <c r="Y25" s="275"/>
      <c r="Z25" s="275"/>
    </row>
    <row r="26" spans="1:26" s="276" customFormat="1" ht="45.6">
      <c r="A26" s="272" t="e">
        <f t="shared" si="1"/>
        <v>#REF!</v>
      </c>
      <c r="B26" s="273" t="e">
        <f t="shared" si="1"/>
        <v>#REF!</v>
      </c>
      <c r="C26" s="273">
        <f t="shared" si="2"/>
        <v>0</v>
      </c>
      <c r="D26" s="274">
        <f t="shared" si="3"/>
        <v>0</v>
      </c>
      <c r="E26" s="324"/>
      <c r="F26" s="325"/>
      <c r="G26" s="321" t="s">
        <v>825</v>
      </c>
      <c r="H26" s="301">
        <v>43327</v>
      </c>
      <c r="I26" s="211"/>
      <c r="J26" s="211" t="s">
        <v>314</v>
      </c>
      <c r="K26" s="211" t="s">
        <v>314</v>
      </c>
      <c r="L26" s="303" t="s">
        <v>1009</v>
      </c>
      <c r="M26" s="303"/>
      <c r="N26" s="303"/>
      <c r="O26" s="238"/>
      <c r="P26" s="275"/>
      <c r="Q26" s="275"/>
      <c r="R26" s="275"/>
      <c r="S26" s="275"/>
      <c r="T26" s="275"/>
      <c r="U26" s="275"/>
      <c r="V26" s="275"/>
      <c r="W26" s="275"/>
      <c r="X26" s="275"/>
      <c r="Y26" s="275"/>
      <c r="Z26" s="275"/>
    </row>
    <row r="27" spans="1:26" s="276" customFormat="1" ht="57">
      <c r="A27" s="272"/>
      <c r="B27" s="273"/>
      <c r="C27" s="273"/>
      <c r="D27" s="274"/>
      <c r="E27" s="324"/>
      <c r="F27" s="325"/>
      <c r="G27" s="321" t="s">
        <v>826</v>
      </c>
      <c r="H27" s="301">
        <v>43327</v>
      </c>
      <c r="I27" s="211"/>
      <c r="J27" s="211" t="s">
        <v>827</v>
      </c>
      <c r="K27" s="238" t="s">
        <v>1011</v>
      </c>
      <c r="L27" s="303" t="s">
        <v>1009</v>
      </c>
      <c r="M27" s="303"/>
      <c r="N27" s="303"/>
      <c r="O27" s="238"/>
      <c r="P27" s="275"/>
      <c r="Q27" s="275"/>
      <c r="R27" s="275"/>
      <c r="S27" s="275"/>
      <c r="T27" s="275"/>
      <c r="U27" s="275"/>
      <c r="V27" s="275"/>
      <c r="W27" s="275"/>
      <c r="X27" s="275"/>
      <c r="Y27" s="275"/>
      <c r="Z27" s="275"/>
    </row>
    <row r="28" spans="1:26" s="276" customFormat="1">
      <c r="A28" s="272"/>
      <c r="B28" s="273"/>
      <c r="C28" s="273"/>
      <c r="D28" s="274"/>
      <c r="E28" s="324"/>
      <c r="F28" s="325"/>
      <c r="G28" s="321" t="s">
        <v>286</v>
      </c>
      <c r="H28" s="301">
        <v>43327</v>
      </c>
      <c r="I28" s="211"/>
      <c r="J28" s="211" t="s">
        <v>282</v>
      </c>
      <c r="K28" s="238"/>
      <c r="L28" s="303" t="s">
        <v>1009</v>
      </c>
      <c r="M28" s="303"/>
      <c r="N28" s="303"/>
      <c r="O28" s="238"/>
      <c r="P28" s="275"/>
      <c r="Q28" s="275"/>
      <c r="R28" s="275"/>
      <c r="S28" s="275"/>
      <c r="T28" s="275"/>
      <c r="U28" s="275"/>
      <c r="V28" s="275"/>
      <c r="W28" s="275"/>
      <c r="X28" s="275"/>
      <c r="Y28" s="275"/>
      <c r="Z28" s="275"/>
    </row>
    <row r="29" spans="1:26" s="281" customFormat="1" ht="57">
      <c r="A29" s="277"/>
      <c r="B29" s="278"/>
      <c r="C29" s="278"/>
      <c r="D29" s="279"/>
      <c r="E29" s="324"/>
      <c r="F29" s="325"/>
      <c r="G29" s="321" t="s">
        <v>828</v>
      </c>
      <c r="H29" s="301">
        <v>43327</v>
      </c>
      <c r="I29" s="211"/>
      <c r="J29" s="211" t="s">
        <v>318</v>
      </c>
      <c r="K29" s="211" t="s">
        <v>318</v>
      </c>
      <c r="L29" s="303" t="s">
        <v>1009</v>
      </c>
      <c r="M29" s="303"/>
      <c r="N29" s="303"/>
      <c r="O29" s="238"/>
      <c r="P29" s="280"/>
      <c r="Q29" s="280"/>
      <c r="R29" s="280"/>
      <c r="S29" s="280"/>
      <c r="T29" s="280"/>
      <c r="U29" s="280"/>
      <c r="V29" s="280"/>
      <c r="W29" s="280"/>
      <c r="X29" s="280"/>
      <c r="Y29" s="280"/>
      <c r="Z29" s="280"/>
    </row>
    <row r="30" spans="1:26" s="276" customFormat="1" ht="68.400000000000006">
      <c r="A30" s="272"/>
      <c r="B30" s="273"/>
      <c r="C30" s="273"/>
      <c r="D30" s="274"/>
      <c r="E30" s="324"/>
      <c r="F30" s="211" t="s">
        <v>829</v>
      </c>
      <c r="G30" s="321" t="s">
        <v>830</v>
      </c>
      <c r="H30" s="301">
        <v>43327</v>
      </c>
      <c r="I30" s="211"/>
      <c r="J30" s="211" t="s">
        <v>1016</v>
      </c>
      <c r="K30" s="211" t="s">
        <v>1017</v>
      </c>
      <c r="L30" s="303"/>
      <c r="M30" s="303" t="s">
        <v>1009</v>
      </c>
      <c r="N30" s="303"/>
      <c r="O30" s="238"/>
      <c r="P30" s="275"/>
      <c r="Q30" s="275"/>
      <c r="R30" s="275"/>
      <c r="S30" s="275"/>
      <c r="T30" s="275"/>
      <c r="U30" s="275"/>
      <c r="V30" s="275"/>
      <c r="W30" s="275"/>
      <c r="X30" s="275"/>
      <c r="Y30" s="275"/>
      <c r="Z30" s="275"/>
    </row>
    <row r="31" spans="1:26" s="276" customFormat="1" ht="57">
      <c r="A31" s="272"/>
      <c r="B31" s="273"/>
      <c r="C31" s="273"/>
      <c r="D31" s="274"/>
      <c r="E31" s="324"/>
      <c r="F31" s="325"/>
      <c r="G31" s="321" t="s">
        <v>831</v>
      </c>
      <c r="H31" s="301">
        <v>43327</v>
      </c>
      <c r="I31" s="211"/>
      <c r="J31" s="211" t="s">
        <v>832</v>
      </c>
      <c r="K31" s="211" t="s">
        <v>832</v>
      </c>
      <c r="L31" s="303" t="s">
        <v>1009</v>
      </c>
      <c r="M31" s="303"/>
      <c r="N31" s="303"/>
      <c r="O31" s="238"/>
      <c r="P31" s="275"/>
      <c r="Q31" s="275"/>
      <c r="R31" s="275"/>
      <c r="S31" s="275"/>
      <c r="T31" s="275"/>
      <c r="U31" s="275"/>
      <c r="V31" s="275"/>
      <c r="W31" s="275"/>
      <c r="X31" s="275"/>
      <c r="Y31" s="275"/>
      <c r="Z31" s="275"/>
    </row>
    <row r="32" spans="1:26" s="276" customFormat="1" ht="57">
      <c r="A32" s="272"/>
      <c r="B32" s="273"/>
      <c r="C32" s="273"/>
      <c r="D32" s="274"/>
      <c r="E32" s="324"/>
      <c r="F32" s="325"/>
      <c r="G32" s="321" t="s">
        <v>833</v>
      </c>
      <c r="H32" s="301">
        <v>43327</v>
      </c>
      <c r="I32" s="211"/>
      <c r="J32" s="211" t="s">
        <v>834</v>
      </c>
      <c r="K32" s="211" t="s">
        <v>834</v>
      </c>
      <c r="L32" s="303" t="s">
        <v>1009</v>
      </c>
      <c r="M32" s="303"/>
      <c r="N32" s="303"/>
      <c r="O32" s="238"/>
      <c r="P32" s="275"/>
      <c r="Q32" s="275"/>
      <c r="R32" s="275"/>
      <c r="S32" s="275"/>
      <c r="T32" s="275"/>
      <c r="U32" s="275"/>
      <c r="V32" s="275"/>
      <c r="W32" s="275"/>
      <c r="X32" s="275"/>
      <c r="Y32" s="275"/>
      <c r="Z32" s="275"/>
    </row>
    <row r="33" spans="1:26" s="276" customFormat="1" ht="57">
      <c r="A33" s="272"/>
      <c r="B33" s="273"/>
      <c r="C33" s="273"/>
      <c r="D33" s="274"/>
      <c r="E33" s="324"/>
      <c r="F33" s="325"/>
      <c r="G33" s="321" t="s">
        <v>835</v>
      </c>
      <c r="H33" s="301">
        <v>43327</v>
      </c>
      <c r="I33" s="211"/>
      <c r="J33" s="211" t="s">
        <v>836</v>
      </c>
      <c r="K33" s="211" t="s">
        <v>836</v>
      </c>
      <c r="L33" s="303" t="s">
        <v>1009</v>
      </c>
      <c r="M33" s="303"/>
      <c r="N33" s="303"/>
      <c r="O33" s="238"/>
      <c r="P33" s="275"/>
      <c r="Q33" s="275"/>
      <c r="R33" s="275"/>
      <c r="S33" s="275"/>
      <c r="T33" s="275"/>
      <c r="U33" s="275"/>
      <c r="V33" s="275"/>
      <c r="W33" s="275"/>
      <c r="X33" s="275"/>
      <c r="Y33" s="275"/>
      <c r="Z33" s="275"/>
    </row>
    <row r="34" spans="1:26" s="276" customFormat="1" ht="57">
      <c r="A34" s="272"/>
      <c r="B34" s="273"/>
      <c r="C34" s="273"/>
      <c r="D34" s="274"/>
      <c r="E34" s="324"/>
      <c r="F34" s="325"/>
      <c r="G34" s="321" t="s">
        <v>837</v>
      </c>
      <c r="H34" s="301">
        <v>43327</v>
      </c>
      <c r="I34" s="211"/>
      <c r="J34" s="211" t="s">
        <v>838</v>
      </c>
      <c r="K34" s="211" t="s">
        <v>838</v>
      </c>
      <c r="L34" s="303" t="s">
        <v>1009</v>
      </c>
      <c r="M34" s="303"/>
      <c r="N34" s="303"/>
      <c r="O34" s="238"/>
      <c r="P34" s="275"/>
      <c r="Q34" s="275"/>
      <c r="R34" s="275"/>
      <c r="S34" s="275"/>
      <c r="T34" s="275"/>
      <c r="U34" s="275"/>
      <c r="V34" s="275"/>
      <c r="W34" s="275"/>
      <c r="X34" s="275"/>
      <c r="Y34" s="275"/>
      <c r="Z34" s="275"/>
    </row>
    <row r="35" spans="1:26" s="276" customFormat="1" ht="57">
      <c r="A35" s="272"/>
      <c r="B35" s="273"/>
      <c r="C35" s="273"/>
      <c r="D35" s="274"/>
      <c r="E35" s="324"/>
      <c r="F35" s="325"/>
      <c r="G35" s="321" t="s">
        <v>839</v>
      </c>
      <c r="H35" s="301">
        <v>43327</v>
      </c>
      <c r="I35" s="211"/>
      <c r="J35" s="211" t="s">
        <v>840</v>
      </c>
      <c r="K35" s="211" t="s">
        <v>840</v>
      </c>
      <c r="L35" s="303" t="s">
        <v>1009</v>
      </c>
      <c r="M35" s="303"/>
      <c r="N35" s="303"/>
      <c r="O35" s="238"/>
      <c r="P35" s="275"/>
      <c r="Q35" s="275"/>
      <c r="R35" s="275"/>
      <c r="S35" s="275"/>
      <c r="T35" s="275"/>
      <c r="U35" s="275"/>
      <c r="V35" s="275"/>
      <c r="W35" s="275"/>
      <c r="X35" s="275"/>
      <c r="Y35" s="275"/>
      <c r="Z35" s="275"/>
    </row>
    <row r="36" spans="1:26" s="276" customFormat="1" ht="57">
      <c r="A36" s="272"/>
      <c r="B36" s="273"/>
      <c r="C36" s="273"/>
      <c r="D36" s="274"/>
      <c r="E36" s="324"/>
      <c r="F36" s="325"/>
      <c r="G36" s="321" t="s">
        <v>841</v>
      </c>
      <c r="H36" s="301">
        <v>43327</v>
      </c>
      <c r="I36" s="211"/>
      <c r="J36" s="211" t="s">
        <v>842</v>
      </c>
      <c r="K36" s="211" t="s">
        <v>842</v>
      </c>
      <c r="L36" s="303" t="s">
        <v>1009</v>
      </c>
      <c r="M36" s="303"/>
      <c r="N36" s="303"/>
      <c r="O36" s="238"/>
      <c r="P36" s="275"/>
      <c r="Q36" s="275"/>
      <c r="R36" s="275"/>
      <c r="S36" s="275"/>
      <c r="T36" s="275"/>
      <c r="U36" s="275"/>
      <c r="V36" s="275"/>
      <c r="W36" s="275"/>
      <c r="X36" s="275"/>
      <c r="Y36" s="275"/>
      <c r="Z36" s="275"/>
    </row>
    <row r="37" spans="1:26" s="276" customFormat="1" ht="57">
      <c r="A37" s="272"/>
      <c r="B37" s="273"/>
      <c r="C37" s="273"/>
      <c r="D37" s="274"/>
      <c r="E37" s="324"/>
      <c r="F37" s="325"/>
      <c r="G37" s="321" t="s">
        <v>843</v>
      </c>
      <c r="H37" s="301">
        <v>43327</v>
      </c>
      <c r="I37" s="211"/>
      <c r="J37" s="211" t="s">
        <v>314</v>
      </c>
      <c r="K37" s="211" t="s">
        <v>314</v>
      </c>
      <c r="L37" s="303" t="s">
        <v>1009</v>
      </c>
      <c r="M37" s="303"/>
      <c r="N37" s="303"/>
      <c r="O37" s="238"/>
      <c r="P37" s="275"/>
      <c r="Q37" s="275"/>
      <c r="R37" s="275"/>
      <c r="S37" s="275"/>
      <c r="T37" s="275"/>
      <c r="U37" s="275"/>
      <c r="V37" s="275"/>
      <c r="W37" s="275"/>
      <c r="X37" s="275"/>
      <c r="Y37" s="275"/>
      <c r="Z37" s="275"/>
    </row>
    <row r="38" spans="1:26" s="281" customFormat="1" ht="57">
      <c r="A38" s="277"/>
      <c r="B38" s="278"/>
      <c r="C38" s="278"/>
      <c r="D38" s="279"/>
      <c r="E38" s="324"/>
      <c r="F38" s="325"/>
      <c r="G38" s="321" t="s">
        <v>844</v>
      </c>
      <c r="H38" s="301">
        <v>43327</v>
      </c>
      <c r="I38" s="211"/>
      <c r="J38" s="211" t="s">
        <v>845</v>
      </c>
      <c r="K38" s="211" t="s">
        <v>845</v>
      </c>
      <c r="L38" s="303" t="s">
        <v>1009</v>
      </c>
      <c r="M38" s="303"/>
      <c r="N38" s="303"/>
      <c r="O38" s="238"/>
      <c r="P38" s="280"/>
      <c r="Q38" s="280"/>
      <c r="R38" s="280"/>
      <c r="S38" s="280"/>
      <c r="T38" s="280"/>
      <c r="U38" s="280"/>
      <c r="V38" s="280"/>
      <c r="W38" s="280"/>
      <c r="X38" s="280"/>
      <c r="Y38" s="280"/>
      <c r="Z38" s="280"/>
    </row>
    <row r="39" spans="1:26" s="281" customFormat="1" ht="68.400000000000006">
      <c r="A39" s="277"/>
      <c r="B39" s="278"/>
      <c r="C39" s="278"/>
      <c r="D39" s="279"/>
      <c r="E39" s="324"/>
      <c r="F39" s="325"/>
      <c r="G39" s="321" t="s">
        <v>846</v>
      </c>
      <c r="H39" s="301">
        <v>43327</v>
      </c>
      <c r="I39" s="211"/>
      <c r="J39" s="211" t="s">
        <v>847</v>
      </c>
      <c r="K39" s="211" t="s">
        <v>847</v>
      </c>
      <c r="L39" s="303" t="s">
        <v>1009</v>
      </c>
      <c r="M39" s="303"/>
      <c r="N39" s="303"/>
      <c r="O39" s="238"/>
      <c r="P39" s="280"/>
      <c r="Q39" s="280"/>
      <c r="R39" s="280"/>
      <c r="S39" s="280"/>
      <c r="T39" s="280"/>
      <c r="U39" s="280"/>
      <c r="V39" s="280"/>
      <c r="W39" s="280"/>
      <c r="X39" s="280"/>
      <c r="Y39" s="280"/>
      <c r="Z39" s="280"/>
    </row>
    <row r="40" spans="1:26" s="276" customFormat="1" ht="68.400000000000006">
      <c r="A40" s="272"/>
      <c r="B40" s="273"/>
      <c r="C40" s="273"/>
      <c r="D40" s="274"/>
      <c r="E40" s="324"/>
      <c r="F40" s="325"/>
      <c r="G40" s="321" t="s">
        <v>848</v>
      </c>
      <c r="H40" s="301">
        <v>43327</v>
      </c>
      <c r="I40" s="211"/>
      <c r="J40" s="211" t="s">
        <v>318</v>
      </c>
      <c r="K40" s="211" t="s">
        <v>318</v>
      </c>
      <c r="L40" s="303" t="s">
        <v>1009</v>
      </c>
      <c r="M40" s="303"/>
      <c r="N40" s="303"/>
      <c r="O40" s="238"/>
      <c r="P40" s="275"/>
      <c r="Q40" s="275"/>
      <c r="R40" s="275"/>
      <c r="S40" s="275"/>
      <c r="T40" s="275"/>
      <c r="U40" s="275"/>
      <c r="V40" s="275"/>
      <c r="W40" s="275"/>
      <c r="X40" s="275"/>
      <c r="Y40" s="275"/>
      <c r="Z40" s="275"/>
    </row>
    <row r="41" spans="1:26" s="281" customFormat="1" ht="45.6">
      <c r="A41" s="277" t="e">
        <f t="shared" si="1"/>
        <v>#REF!</v>
      </c>
      <c r="B41" s="278" t="e">
        <f t="shared" si="1"/>
        <v>#REF!</v>
      </c>
      <c r="C41" s="278">
        <f t="shared" si="2"/>
        <v>0</v>
      </c>
      <c r="D41" s="279">
        <f t="shared" si="3"/>
        <v>0</v>
      </c>
      <c r="E41" s="324">
        <v>4</v>
      </c>
      <c r="F41" s="211" t="s">
        <v>319</v>
      </c>
      <c r="G41" s="321" t="s">
        <v>849</v>
      </c>
      <c r="H41" s="301">
        <v>43327</v>
      </c>
      <c r="I41" s="211"/>
      <c r="J41" s="227" t="s">
        <v>1036</v>
      </c>
      <c r="K41" s="238" t="s">
        <v>1011</v>
      </c>
      <c r="L41" s="303" t="s">
        <v>1009</v>
      </c>
      <c r="M41" s="303"/>
      <c r="N41" s="303"/>
      <c r="O41" s="238"/>
      <c r="P41" s="280"/>
      <c r="Q41" s="280"/>
      <c r="R41" s="280"/>
      <c r="S41" s="280"/>
      <c r="T41" s="280"/>
      <c r="U41" s="280"/>
      <c r="V41" s="280"/>
      <c r="W41" s="280"/>
      <c r="X41" s="280"/>
      <c r="Y41" s="280"/>
      <c r="Z41" s="280"/>
    </row>
    <row r="42" spans="1:26" s="276" customFormat="1">
      <c r="A42" s="272" t="e">
        <f t="shared" si="1"/>
        <v>#REF!</v>
      </c>
      <c r="B42" s="273" t="e">
        <f t="shared" si="1"/>
        <v>#REF!</v>
      </c>
      <c r="C42" s="273">
        <f t="shared" si="2"/>
        <v>0</v>
      </c>
      <c r="D42" s="274">
        <f t="shared" si="3"/>
        <v>0</v>
      </c>
      <c r="E42" s="324"/>
      <c r="F42" s="325"/>
      <c r="G42" s="321" t="s">
        <v>286</v>
      </c>
      <c r="H42" s="301">
        <v>43327</v>
      </c>
      <c r="I42" s="211"/>
      <c r="J42" s="211" t="s">
        <v>282</v>
      </c>
      <c r="K42" s="238"/>
      <c r="L42" s="303" t="s">
        <v>1009</v>
      </c>
      <c r="M42" s="303"/>
      <c r="N42" s="303"/>
      <c r="O42" s="238"/>
      <c r="P42" s="275"/>
      <c r="Q42" s="275"/>
      <c r="R42" s="275"/>
      <c r="S42" s="275"/>
      <c r="T42" s="275"/>
      <c r="U42" s="275"/>
      <c r="V42" s="275"/>
      <c r="W42" s="275"/>
      <c r="X42" s="275"/>
      <c r="Y42" s="275"/>
      <c r="Z42" s="275"/>
    </row>
    <row r="43" spans="1:26" s="281" customFormat="1" ht="45.6">
      <c r="A43" s="277" t="e">
        <f t="shared" si="1"/>
        <v>#REF!</v>
      </c>
      <c r="B43" s="278" t="e">
        <f t="shared" si="1"/>
        <v>#REF!</v>
      </c>
      <c r="C43" s="278">
        <f t="shared" si="2"/>
        <v>0</v>
      </c>
      <c r="D43" s="279">
        <f t="shared" si="3"/>
        <v>0</v>
      </c>
      <c r="E43" s="324"/>
      <c r="F43" s="325"/>
      <c r="G43" s="321" t="s">
        <v>850</v>
      </c>
      <c r="H43" s="301">
        <v>43327</v>
      </c>
      <c r="I43" s="211"/>
      <c r="J43" s="211" t="s">
        <v>288</v>
      </c>
      <c r="K43" s="211" t="s">
        <v>288</v>
      </c>
      <c r="L43" s="303" t="s">
        <v>1009</v>
      </c>
      <c r="M43" s="303"/>
      <c r="N43" s="303"/>
      <c r="O43" s="238"/>
      <c r="P43" s="280"/>
      <c r="Q43" s="280"/>
      <c r="R43" s="280"/>
      <c r="S43" s="280"/>
      <c r="T43" s="280"/>
      <c r="U43" s="280"/>
      <c r="V43" s="280"/>
      <c r="W43" s="280"/>
      <c r="X43" s="280"/>
      <c r="Y43" s="280"/>
      <c r="Z43" s="280"/>
    </row>
    <row r="44" spans="1:26" s="276" customFormat="1" ht="34.200000000000003">
      <c r="A44" s="272" t="e">
        <f t="shared" si="1"/>
        <v>#REF!</v>
      </c>
      <c r="B44" s="273" t="e">
        <f t="shared" si="1"/>
        <v>#REF!</v>
      </c>
      <c r="C44" s="273">
        <f t="shared" si="2"/>
        <v>0</v>
      </c>
      <c r="D44" s="274">
        <f t="shared" si="3"/>
        <v>0</v>
      </c>
      <c r="E44" s="324"/>
      <c r="F44" s="325"/>
      <c r="G44" s="238" t="s">
        <v>289</v>
      </c>
      <c r="H44" s="301">
        <v>43327</v>
      </c>
      <c r="I44" s="211"/>
      <c r="J44" s="211" t="s">
        <v>282</v>
      </c>
      <c r="K44" s="211" t="s">
        <v>282</v>
      </c>
      <c r="L44" s="303" t="s">
        <v>1009</v>
      </c>
      <c r="M44" s="303"/>
      <c r="N44" s="303"/>
      <c r="O44" s="238"/>
      <c r="P44" s="275"/>
      <c r="Q44" s="275"/>
      <c r="R44" s="275"/>
      <c r="S44" s="275"/>
      <c r="T44" s="275"/>
      <c r="U44" s="275"/>
      <c r="V44" s="275"/>
      <c r="W44" s="275"/>
      <c r="X44" s="275"/>
      <c r="Y44" s="275"/>
      <c r="Z44" s="275"/>
    </row>
    <row r="45" spans="1:26" s="276" customFormat="1" ht="34.200000000000003">
      <c r="A45" s="272"/>
      <c r="B45" s="273"/>
      <c r="C45" s="273"/>
      <c r="D45" s="274"/>
      <c r="E45" s="324"/>
      <c r="F45" s="325"/>
      <c r="G45" s="238" t="s">
        <v>290</v>
      </c>
      <c r="H45" s="301">
        <v>43327</v>
      </c>
      <c r="I45" s="211"/>
      <c r="J45" s="211" t="s">
        <v>722</v>
      </c>
      <c r="K45" s="211" t="s">
        <v>722</v>
      </c>
      <c r="L45" s="303" t="s">
        <v>1009</v>
      </c>
      <c r="M45" s="303"/>
      <c r="N45" s="303"/>
      <c r="O45" s="238"/>
      <c r="P45" s="275"/>
      <c r="Q45" s="275"/>
      <c r="R45" s="275"/>
      <c r="S45" s="275"/>
      <c r="T45" s="275"/>
      <c r="U45" s="275"/>
      <c r="V45" s="275"/>
      <c r="W45" s="275"/>
      <c r="X45" s="275"/>
      <c r="Y45" s="275"/>
      <c r="Z45" s="275"/>
    </row>
    <row r="46" spans="1:26" s="276" customFormat="1">
      <c r="A46" s="272"/>
      <c r="B46" s="273"/>
      <c r="C46" s="273"/>
      <c r="D46" s="274"/>
      <c r="E46" s="324"/>
      <c r="F46" s="325"/>
      <c r="G46" s="238" t="s">
        <v>286</v>
      </c>
      <c r="H46" s="301">
        <v>43327</v>
      </c>
      <c r="I46" s="211"/>
      <c r="J46" s="238" t="s">
        <v>286</v>
      </c>
      <c r="K46" s="238"/>
      <c r="L46" s="303" t="s">
        <v>1009</v>
      </c>
      <c r="M46" s="303"/>
      <c r="N46" s="303"/>
      <c r="O46" s="238"/>
      <c r="P46" s="275"/>
      <c r="Q46" s="275"/>
      <c r="R46" s="275"/>
      <c r="S46" s="275"/>
      <c r="T46" s="275"/>
      <c r="U46" s="275"/>
      <c r="V46" s="275"/>
      <c r="W46" s="275"/>
      <c r="X46" s="275"/>
      <c r="Y46" s="275"/>
      <c r="Z46" s="275"/>
    </row>
    <row r="47" spans="1:26" s="276" customFormat="1" ht="45.6">
      <c r="A47" s="272" t="e">
        <f t="shared" si="1"/>
        <v>#REF!</v>
      </c>
      <c r="B47" s="273" t="e">
        <f t="shared" si="1"/>
        <v>#REF!</v>
      </c>
      <c r="C47" s="273">
        <f t="shared" si="2"/>
        <v>0</v>
      </c>
      <c r="D47" s="274">
        <f t="shared" si="3"/>
        <v>0</v>
      </c>
      <c r="E47" s="324"/>
      <c r="F47" s="325"/>
      <c r="G47" s="321" t="s">
        <v>851</v>
      </c>
      <c r="H47" s="301">
        <v>43327</v>
      </c>
      <c r="I47" s="211"/>
      <c r="J47" s="211" t="s">
        <v>666</v>
      </c>
      <c r="K47" s="211" t="s">
        <v>666</v>
      </c>
      <c r="L47" s="303"/>
      <c r="M47" s="303" t="s">
        <v>1009</v>
      </c>
      <c r="N47" s="303"/>
      <c r="O47" s="238"/>
      <c r="P47" s="275"/>
      <c r="Q47" s="275"/>
      <c r="R47" s="275"/>
      <c r="S47" s="275"/>
      <c r="T47" s="275"/>
      <c r="U47" s="275"/>
      <c r="V47" s="275"/>
      <c r="W47" s="275"/>
      <c r="X47" s="275"/>
      <c r="Y47" s="275"/>
      <c r="Z47" s="275"/>
    </row>
    <row r="48" spans="1:26" s="276" customFormat="1" ht="45.6">
      <c r="A48" s="272" t="e">
        <f t="shared" si="1"/>
        <v>#REF!</v>
      </c>
      <c r="B48" s="273" t="e">
        <f t="shared" si="1"/>
        <v>#REF!</v>
      </c>
      <c r="C48" s="273">
        <f t="shared" si="2"/>
        <v>0</v>
      </c>
      <c r="D48" s="274">
        <f t="shared" si="3"/>
        <v>0</v>
      </c>
      <c r="E48" s="324"/>
      <c r="F48" s="325"/>
      <c r="G48" s="321" t="s">
        <v>852</v>
      </c>
      <c r="H48" s="301">
        <v>43327</v>
      </c>
      <c r="I48" s="211"/>
      <c r="J48" s="211" t="s">
        <v>1024</v>
      </c>
      <c r="K48" s="211" t="s">
        <v>1024</v>
      </c>
      <c r="L48" s="303"/>
      <c r="M48" s="303" t="s">
        <v>1009</v>
      </c>
      <c r="N48" s="303"/>
      <c r="O48" s="238"/>
      <c r="P48" s="275"/>
      <c r="Q48" s="275"/>
      <c r="R48" s="275"/>
      <c r="S48" s="275"/>
      <c r="T48" s="275"/>
      <c r="U48" s="275"/>
      <c r="V48" s="275"/>
      <c r="W48" s="275"/>
      <c r="X48" s="275"/>
      <c r="Y48" s="275"/>
      <c r="Z48" s="275"/>
    </row>
    <row r="49" spans="1:26" s="276" customFormat="1">
      <c r="A49" s="272"/>
      <c r="B49" s="273"/>
      <c r="C49" s="273"/>
      <c r="D49" s="274"/>
      <c r="E49" s="324"/>
      <c r="F49" s="325"/>
      <c r="G49" s="238" t="s">
        <v>286</v>
      </c>
      <c r="H49" s="301">
        <v>43327</v>
      </c>
      <c r="I49" s="211"/>
      <c r="J49" s="238" t="s">
        <v>286</v>
      </c>
      <c r="K49" s="238"/>
      <c r="L49" s="303"/>
      <c r="M49" s="303"/>
      <c r="N49" s="303" t="s">
        <v>1009</v>
      </c>
      <c r="O49" s="238"/>
      <c r="P49" s="275"/>
      <c r="Q49" s="275"/>
      <c r="R49" s="275"/>
      <c r="S49" s="275"/>
      <c r="T49" s="275"/>
      <c r="U49" s="275"/>
      <c r="V49" s="275"/>
      <c r="W49" s="275"/>
      <c r="X49" s="275"/>
      <c r="Y49" s="275"/>
      <c r="Z49" s="275"/>
    </row>
    <row r="50" spans="1:26" s="281" customFormat="1" ht="45.6">
      <c r="A50" s="277" t="e">
        <f t="shared" ref="A50:B50" si="4">#REF!</f>
        <v>#REF!</v>
      </c>
      <c r="B50" s="278" t="e">
        <f t="shared" si="4"/>
        <v>#REF!</v>
      </c>
      <c r="C50" s="278">
        <f>$I$5</f>
        <v>0</v>
      </c>
      <c r="D50" s="279">
        <f>$I$7</f>
        <v>0</v>
      </c>
      <c r="E50" s="324">
        <v>5</v>
      </c>
      <c r="F50" s="238" t="s">
        <v>326</v>
      </c>
      <c r="G50" s="321" t="s">
        <v>853</v>
      </c>
      <c r="H50" s="301">
        <v>43327</v>
      </c>
      <c r="I50" s="211"/>
      <c r="J50" s="227" t="s">
        <v>1025</v>
      </c>
      <c r="K50" s="238" t="s">
        <v>1011</v>
      </c>
      <c r="L50" s="303"/>
      <c r="M50" s="303" t="s">
        <v>1009</v>
      </c>
      <c r="N50" s="303"/>
      <c r="O50" s="238"/>
      <c r="P50" s="280"/>
      <c r="Q50" s="280"/>
      <c r="R50" s="280"/>
      <c r="S50" s="280"/>
      <c r="T50" s="280"/>
      <c r="U50" s="280"/>
      <c r="V50" s="280"/>
      <c r="W50" s="280"/>
      <c r="X50" s="280"/>
      <c r="Y50" s="280"/>
      <c r="Z50" s="280"/>
    </row>
    <row r="51" spans="1:26" s="276" customFormat="1" ht="15.75" customHeight="1">
      <c r="A51" s="272"/>
      <c r="B51" s="273"/>
      <c r="C51" s="273"/>
      <c r="D51" s="274"/>
      <c r="E51" s="324"/>
      <c r="F51" s="239"/>
      <c r="G51" s="321" t="s">
        <v>286</v>
      </c>
      <c r="H51" s="301">
        <v>43327</v>
      </c>
      <c r="I51" s="211"/>
      <c r="J51" s="211" t="s">
        <v>282</v>
      </c>
      <c r="K51" s="238"/>
      <c r="L51" s="303"/>
      <c r="M51" s="303"/>
      <c r="N51" s="303" t="s">
        <v>1009</v>
      </c>
      <c r="O51" s="238"/>
      <c r="P51" s="275"/>
      <c r="Q51" s="275"/>
      <c r="R51" s="275"/>
      <c r="S51" s="275"/>
      <c r="T51" s="275"/>
      <c r="U51" s="275"/>
      <c r="V51" s="275"/>
      <c r="W51" s="275"/>
      <c r="X51" s="275"/>
      <c r="Y51" s="275"/>
      <c r="Z51" s="275"/>
    </row>
    <row r="52" spans="1:26" s="281" customFormat="1" ht="45.6">
      <c r="A52" s="277"/>
      <c r="B52" s="278"/>
      <c r="C52" s="278"/>
      <c r="D52" s="279"/>
      <c r="E52" s="324"/>
      <c r="F52" s="239"/>
      <c r="G52" s="321" t="s">
        <v>854</v>
      </c>
      <c r="H52" s="301">
        <v>43327</v>
      </c>
      <c r="I52" s="211"/>
      <c r="J52" s="238" t="s">
        <v>855</v>
      </c>
      <c r="K52" s="238" t="s">
        <v>855</v>
      </c>
      <c r="L52" s="303" t="s">
        <v>1009</v>
      </c>
      <c r="M52" s="303"/>
      <c r="N52" s="303"/>
      <c r="O52" s="238"/>
      <c r="P52" s="280"/>
      <c r="Q52" s="280"/>
      <c r="R52" s="280"/>
      <c r="S52" s="280"/>
      <c r="T52" s="280"/>
      <c r="U52" s="280"/>
      <c r="V52" s="280"/>
      <c r="W52" s="280"/>
      <c r="X52" s="280"/>
      <c r="Y52" s="280"/>
      <c r="Z52" s="280"/>
    </row>
    <row r="53" spans="1:26" s="281" customFormat="1" ht="57">
      <c r="A53" s="277"/>
      <c r="B53" s="278"/>
      <c r="C53" s="278"/>
      <c r="D53" s="279"/>
      <c r="E53" s="324"/>
      <c r="F53" s="239"/>
      <c r="G53" s="321" t="s">
        <v>856</v>
      </c>
      <c r="H53" s="301">
        <v>43327</v>
      </c>
      <c r="I53" s="211"/>
      <c r="J53" s="227" t="s">
        <v>1026</v>
      </c>
      <c r="K53" s="238" t="s">
        <v>1011</v>
      </c>
      <c r="L53" s="303"/>
      <c r="M53" s="303" t="s">
        <v>1009</v>
      </c>
      <c r="N53" s="303"/>
      <c r="O53" s="238"/>
      <c r="P53" s="280"/>
      <c r="Q53" s="280"/>
      <c r="R53" s="280"/>
      <c r="S53" s="280"/>
      <c r="T53" s="280"/>
      <c r="U53" s="280"/>
      <c r="V53" s="280"/>
      <c r="W53" s="280"/>
      <c r="X53" s="280"/>
      <c r="Y53" s="280"/>
      <c r="Z53" s="280"/>
    </row>
    <row r="54" spans="1:26" s="276" customFormat="1">
      <c r="A54" s="272"/>
      <c r="B54" s="273"/>
      <c r="C54" s="273"/>
      <c r="D54" s="274"/>
      <c r="E54" s="324"/>
      <c r="F54" s="239"/>
      <c r="G54" s="321" t="s">
        <v>286</v>
      </c>
      <c r="H54" s="301">
        <v>43327</v>
      </c>
      <c r="I54" s="211"/>
      <c r="J54" s="211" t="s">
        <v>282</v>
      </c>
      <c r="K54" s="238"/>
      <c r="L54" s="303"/>
      <c r="M54" s="303"/>
      <c r="N54" s="303" t="s">
        <v>1009</v>
      </c>
      <c r="O54" s="238"/>
      <c r="P54" s="275"/>
      <c r="Q54" s="275"/>
      <c r="R54" s="275"/>
      <c r="S54" s="275"/>
      <c r="T54" s="275"/>
      <c r="U54" s="275"/>
      <c r="V54" s="275"/>
      <c r="W54" s="275"/>
      <c r="X54" s="275"/>
      <c r="Y54" s="275"/>
      <c r="Z54" s="275"/>
    </row>
    <row r="55" spans="1:26" s="281" customFormat="1" ht="57">
      <c r="A55" s="277"/>
      <c r="B55" s="278"/>
      <c r="C55" s="278"/>
      <c r="D55" s="279"/>
      <c r="E55" s="324"/>
      <c r="F55" s="239"/>
      <c r="G55" s="321" t="s">
        <v>857</v>
      </c>
      <c r="H55" s="301">
        <v>43327</v>
      </c>
      <c r="I55" s="211"/>
      <c r="J55" s="227" t="s">
        <v>1025</v>
      </c>
      <c r="K55" s="238" t="s">
        <v>1011</v>
      </c>
      <c r="L55" s="303"/>
      <c r="M55" s="303" t="s">
        <v>1009</v>
      </c>
      <c r="N55" s="303"/>
      <c r="O55" s="238"/>
      <c r="P55" s="280"/>
      <c r="Q55" s="280"/>
      <c r="R55" s="280"/>
      <c r="S55" s="280"/>
      <c r="T55" s="280"/>
      <c r="U55" s="280"/>
      <c r="V55" s="280"/>
      <c r="W55" s="280"/>
      <c r="X55" s="280"/>
      <c r="Y55" s="280"/>
      <c r="Z55" s="280"/>
    </row>
    <row r="56" spans="1:26" s="276" customFormat="1">
      <c r="A56" s="272"/>
      <c r="B56" s="273"/>
      <c r="C56" s="273"/>
      <c r="D56" s="274"/>
      <c r="E56" s="324"/>
      <c r="F56" s="239"/>
      <c r="G56" s="321" t="s">
        <v>286</v>
      </c>
      <c r="H56" s="301">
        <v>43327</v>
      </c>
      <c r="I56" s="211"/>
      <c r="J56" s="211" t="s">
        <v>282</v>
      </c>
      <c r="K56" s="238"/>
      <c r="L56" s="303"/>
      <c r="M56" s="303"/>
      <c r="N56" s="303" t="s">
        <v>1009</v>
      </c>
      <c r="O56" s="238"/>
      <c r="P56" s="275"/>
      <c r="Q56" s="275"/>
      <c r="R56" s="275"/>
      <c r="S56" s="275"/>
      <c r="T56" s="275"/>
      <c r="U56" s="275"/>
      <c r="V56" s="275"/>
      <c r="W56" s="275"/>
      <c r="X56" s="275"/>
      <c r="Y56" s="275"/>
      <c r="Z56" s="275"/>
    </row>
    <row r="57" spans="1:26" s="276" customFormat="1" ht="57">
      <c r="A57" s="272"/>
      <c r="B57" s="273"/>
      <c r="C57" s="273"/>
      <c r="D57" s="274"/>
      <c r="E57" s="324"/>
      <c r="F57" s="239"/>
      <c r="G57" s="321" t="s">
        <v>858</v>
      </c>
      <c r="H57" s="301">
        <v>43327</v>
      </c>
      <c r="I57" s="211"/>
      <c r="J57" s="238" t="s">
        <v>855</v>
      </c>
      <c r="K57" s="238" t="s">
        <v>855</v>
      </c>
      <c r="L57" s="303" t="s">
        <v>1009</v>
      </c>
      <c r="M57" s="303"/>
      <c r="N57" s="303"/>
      <c r="O57" s="238"/>
      <c r="P57" s="275"/>
      <c r="Q57" s="275"/>
      <c r="R57" s="275"/>
      <c r="S57" s="275"/>
      <c r="T57" s="275"/>
      <c r="U57" s="275"/>
      <c r="V57" s="275"/>
      <c r="W57" s="275"/>
      <c r="X57" s="275"/>
      <c r="Y57" s="275"/>
      <c r="Z57" s="275"/>
    </row>
    <row r="58" spans="1:26" s="281" customFormat="1" ht="68.400000000000006">
      <c r="A58" s="277"/>
      <c r="B58" s="278"/>
      <c r="C58" s="278"/>
      <c r="D58" s="279"/>
      <c r="E58" s="324"/>
      <c r="F58" s="239"/>
      <c r="G58" s="321" t="s">
        <v>859</v>
      </c>
      <c r="H58" s="301">
        <v>43327</v>
      </c>
      <c r="I58" s="211"/>
      <c r="J58" s="227" t="s">
        <v>1026</v>
      </c>
      <c r="K58" s="238" t="s">
        <v>1011</v>
      </c>
      <c r="L58" s="303"/>
      <c r="M58" s="303" t="s">
        <v>1009</v>
      </c>
      <c r="N58" s="303"/>
      <c r="O58" s="238"/>
      <c r="P58" s="280"/>
      <c r="Q58" s="280"/>
      <c r="R58" s="280"/>
      <c r="S58" s="280"/>
      <c r="T58" s="280"/>
      <c r="U58" s="280"/>
      <c r="V58" s="280"/>
      <c r="W58" s="280"/>
      <c r="X58" s="280"/>
      <c r="Y58" s="280"/>
      <c r="Z58" s="280"/>
    </row>
    <row r="59" spans="1:26" s="276" customFormat="1">
      <c r="A59" s="272"/>
      <c r="B59" s="273"/>
      <c r="C59" s="273"/>
      <c r="D59" s="274"/>
      <c r="E59" s="324"/>
      <c r="F59" s="239"/>
      <c r="G59" s="321" t="s">
        <v>286</v>
      </c>
      <c r="H59" s="301">
        <v>43327</v>
      </c>
      <c r="I59" s="211"/>
      <c r="J59" s="211" t="s">
        <v>282</v>
      </c>
      <c r="K59" s="238"/>
      <c r="L59" s="303"/>
      <c r="M59" s="303"/>
      <c r="N59" s="303" t="s">
        <v>1009</v>
      </c>
      <c r="O59" s="238"/>
      <c r="P59" s="275"/>
      <c r="Q59" s="275"/>
      <c r="R59" s="275"/>
      <c r="S59" s="275"/>
      <c r="T59" s="275"/>
      <c r="U59" s="275"/>
      <c r="V59" s="275"/>
      <c r="W59" s="275"/>
      <c r="X59" s="275"/>
      <c r="Y59" s="275"/>
      <c r="Z59" s="275"/>
    </row>
    <row r="60" spans="1:26" s="281" customFormat="1" ht="91.2">
      <c r="A60" s="277"/>
      <c r="B60" s="278"/>
      <c r="C60" s="278"/>
      <c r="D60" s="279"/>
      <c r="E60" s="326"/>
      <c r="F60" s="347"/>
      <c r="G60" s="328" t="s">
        <v>860</v>
      </c>
      <c r="H60" s="306">
        <v>43327</v>
      </c>
      <c r="I60" s="304"/>
      <c r="J60" s="328" t="s">
        <v>1027</v>
      </c>
      <c r="K60" s="328" t="s">
        <v>1011</v>
      </c>
      <c r="L60" s="307"/>
      <c r="M60" s="307" t="s">
        <v>1009</v>
      </c>
      <c r="N60" s="307"/>
      <c r="O60" s="328"/>
      <c r="P60" s="280"/>
      <c r="Q60" s="280"/>
      <c r="R60" s="280"/>
      <c r="S60" s="280"/>
      <c r="T60" s="280"/>
      <c r="U60" s="280"/>
      <c r="V60" s="280"/>
      <c r="W60" s="280"/>
      <c r="X60" s="280"/>
      <c r="Y60" s="280"/>
      <c r="Z60" s="280"/>
    </row>
    <row r="61" spans="1:26" s="276" customFormat="1">
      <c r="A61" s="272" t="e">
        <f t="shared" ref="A61:B63" si="5">#REF!</f>
        <v>#REF!</v>
      </c>
      <c r="B61" s="273" t="e">
        <f t="shared" si="5"/>
        <v>#REF!</v>
      </c>
      <c r="C61" s="273">
        <f t="shared" ref="C61:C63" si="6">$I$5</f>
        <v>0</v>
      </c>
      <c r="D61" s="274">
        <f t="shared" ref="D61:D63" si="7">$I$7</f>
        <v>0</v>
      </c>
      <c r="E61" s="324"/>
      <c r="F61" s="325"/>
      <c r="G61" s="238" t="s">
        <v>286</v>
      </c>
      <c r="H61" s="301">
        <v>43327</v>
      </c>
      <c r="I61" s="211"/>
      <c r="J61" s="238" t="s">
        <v>282</v>
      </c>
      <c r="K61" s="238"/>
      <c r="L61" s="303"/>
      <c r="M61" s="303"/>
      <c r="N61" s="303" t="s">
        <v>1009</v>
      </c>
      <c r="O61" s="238"/>
      <c r="P61" s="275"/>
      <c r="Q61" s="275"/>
      <c r="R61" s="275"/>
      <c r="S61" s="275"/>
      <c r="T61" s="275"/>
      <c r="U61" s="275"/>
      <c r="V61" s="275"/>
      <c r="W61" s="275"/>
      <c r="X61" s="275"/>
      <c r="Y61" s="275"/>
      <c r="Z61" s="275"/>
    </row>
    <row r="62" spans="1:26" s="281" customFormat="1" ht="114">
      <c r="A62" s="277" t="e">
        <f t="shared" si="5"/>
        <v>#REF!</v>
      </c>
      <c r="B62" s="278" t="e">
        <f t="shared" si="5"/>
        <v>#REF!</v>
      </c>
      <c r="C62" s="278">
        <f t="shared" si="6"/>
        <v>0</v>
      </c>
      <c r="D62" s="279">
        <f t="shared" si="7"/>
        <v>0</v>
      </c>
      <c r="E62" s="326"/>
      <c r="F62" s="327"/>
      <c r="G62" s="328" t="s">
        <v>861</v>
      </c>
      <c r="H62" s="306">
        <v>43327</v>
      </c>
      <c r="I62" s="304"/>
      <c r="J62" s="328" t="s">
        <v>1012</v>
      </c>
      <c r="K62" s="328" t="s">
        <v>1011</v>
      </c>
      <c r="L62" s="307"/>
      <c r="M62" s="307" t="s">
        <v>1009</v>
      </c>
      <c r="N62" s="307"/>
      <c r="O62" s="328"/>
      <c r="P62" s="280"/>
      <c r="Q62" s="280"/>
      <c r="R62" s="280"/>
      <c r="S62" s="280"/>
      <c r="T62" s="280"/>
      <c r="U62" s="280"/>
      <c r="V62" s="280"/>
      <c r="W62" s="280"/>
      <c r="X62" s="280"/>
      <c r="Y62" s="280"/>
      <c r="Z62" s="280"/>
    </row>
    <row r="63" spans="1:26" s="276" customFormat="1">
      <c r="A63" s="272" t="e">
        <f t="shared" si="5"/>
        <v>#REF!</v>
      </c>
      <c r="B63" s="273" t="e">
        <f t="shared" si="5"/>
        <v>#REF!</v>
      </c>
      <c r="C63" s="273">
        <f t="shared" si="6"/>
        <v>0</v>
      </c>
      <c r="D63" s="274">
        <f t="shared" si="7"/>
        <v>0</v>
      </c>
      <c r="E63" s="324"/>
      <c r="F63" s="325"/>
      <c r="G63" s="238" t="s">
        <v>286</v>
      </c>
      <c r="H63" s="301">
        <v>43327</v>
      </c>
      <c r="I63" s="211"/>
      <c r="J63" s="238" t="s">
        <v>679</v>
      </c>
      <c r="K63" s="238"/>
      <c r="L63" s="303"/>
      <c r="M63" s="303"/>
      <c r="N63" s="303" t="s">
        <v>1009</v>
      </c>
      <c r="O63" s="238"/>
      <c r="P63" s="275"/>
      <c r="Q63" s="275"/>
      <c r="R63" s="275"/>
      <c r="S63" s="275"/>
      <c r="T63" s="275"/>
      <c r="U63" s="275"/>
      <c r="V63" s="275"/>
      <c r="W63" s="275"/>
      <c r="X63" s="275"/>
      <c r="Y63" s="275"/>
      <c r="Z63" s="275"/>
    </row>
    <row r="64" spans="1:26" s="281" customFormat="1" ht="114">
      <c r="A64" s="277"/>
      <c r="B64" s="278"/>
      <c r="C64" s="278"/>
      <c r="D64" s="279"/>
      <c r="E64" s="326"/>
      <c r="F64" s="327"/>
      <c r="G64" s="328" t="s">
        <v>862</v>
      </c>
      <c r="H64" s="306">
        <v>43327</v>
      </c>
      <c r="I64" s="304"/>
      <c r="J64" s="328" t="s">
        <v>1027</v>
      </c>
      <c r="K64" s="328" t="s">
        <v>1011</v>
      </c>
      <c r="L64" s="307"/>
      <c r="M64" s="307" t="s">
        <v>1009</v>
      </c>
      <c r="N64" s="307"/>
      <c r="O64" s="328"/>
      <c r="P64" s="280"/>
      <c r="Q64" s="280"/>
      <c r="R64" s="280"/>
      <c r="S64" s="280"/>
      <c r="T64" s="280"/>
      <c r="U64" s="280"/>
      <c r="V64" s="280"/>
      <c r="W64" s="280"/>
      <c r="X64" s="280"/>
      <c r="Y64" s="280"/>
      <c r="Z64" s="280"/>
    </row>
    <row r="65" spans="1:26" s="281" customFormat="1">
      <c r="A65" s="277"/>
      <c r="B65" s="278"/>
      <c r="C65" s="278"/>
      <c r="D65" s="279"/>
      <c r="E65" s="326"/>
      <c r="F65" s="327"/>
      <c r="G65" s="238" t="s">
        <v>286</v>
      </c>
      <c r="H65" s="301">
        <v>43327</v>
      </c>
      <c r="I65" s="211"/>
      <c r="J65" s="238" t="s">
        <v>679</v>
      </c>
      <c r="K65" s="328"/>
      <c r="L65" s="307"/>
      <c r="M65" s="307"/>
      <c r="N65" s="307" t="s">
        <v>1009</v>
      </c>
      <c r="O65" s="328"/>
      <c r="P65" s="280"/>
      <c r="Q65" s="280"/>
      <c r="R65" s="280"/>
      <c r="S65" s="280"/>
      <c r="T65" s="280"/>
      <c r="U65" s="280"/>
      <c r="V65" s="280"/>
      <c r="W65" s="280"/>
      <c r="X65" s="280"/>
      <c r="Y65" s="280"/>
      <c r="Z65" s="280"/>
    </row>
    <row r="66" spans="1:26" s="281" customFormat="1" ht="102.6">
      <c r="A66" s="277"/>
      <c r="B66" s="278"/>
      <c r="C66" s="278"/>
      <c r="D66" s="279"/>
      <c r="E66" s="326"/>
      <c r="F66" s="347"/>
      <c r="G66" s="328" t="s">
        <v>863</v>
      </c>
      <c r="H66" s="306">
        <v>43327</v>
      </c>
      <c r="I66" s="304"/>
      <c r="J66" s="328" t="s">
        <v>1027</v>
      </c>
      <c r="K66" s="328" t="s">
        <v>1011</v>
      </c>
      <c r="L66" s="307"/>
      <c r="M66" s="307" t="s">
        <v>1009</v>
      </c>
      <c r="N66" s="307"/>
      <c r="O66" s="328"/>
      <c r="P66" s="280"/>
      <c r="Q66" s="280"/>
      <c r="R66" s="280"/>
      <c r="S66" s="280"/>
      <c r="T66" s="280"/>
      <c r="U66" s="280"/>
      <c r="V66" s="280"/>
      <c r="W66" s="280"/>
      <c r="X66" s="280"/>
      <c r="Y66" s="280"/>
      <c r="Z66" s="280"/>
    </row>
    <row r="67" spans="1:26" s="276" customFormat="1">
      <c r="A67" s="272"/>
      <c r="B67" s="273"/>
      <c r="C67" s="273"/>
      <c r="D67" s="274"/>
      <c r="E67" s="324"/>
      <c r="F67" s="325"/>
      <c r="G67" s="238" t="s">
        <v>286</v>
      </c>
      <c r="H67" s="301">
        <v>43327</v>
      </c>
      <c r="I67" s="211"/>
      <c r="J67" s="238" t="s">
        <v>282</v>
      </c>
      <c r="K67" s="238"/>
      <c r="L67" s="303"/>
      <c r="M67" s="303"/>
      <c r="N67" s="303" t="s">
        <v>1009</v>
      </c>
      <c r="O67" s="238"/>
      <c r="P67" s="275"/>
      <c r="Q67" s="275"/>
      <c r="R67" s="275"/>
      <c r="S67" s="275"/>
      <c r="T67" s="275"/>
      <c r="U67" s="275"/>
      <c r="V67" s="275"/>
      <c r="W67" s="275"/>
      <c r="X67" s="275"/>
      <c r="Y67" s="275"/>
      <c r="Z67" s="275"/>
    </row>
    <row r="68" spans="1:26" s="281" customFormat="1" ht="125.4">
      <c r="A68" s="277"/>
      <c r="B68" s="278"/>
      <c r="C68" s="278"/>
      <c r="D68" s="279"/>
      <c r="E68" s="348"/>
      <c r="F68" s="349"/>
      <c r="G68" s="328" t="s">
        <v>864</v>
      </c>
      <c r="H68" s="306">
        <v>43327</v>
      </c>
      <c r="I68" s="304"/>
      <c r="J68" s="328" t="s">
        <v>1012</v>
      </c>
      <c r="K68" s="350" t="s">
        <v>1011</v>
      </c>
      <c r="L68" s="351"/>
      <c r="M68" s="351" t="s">
        <v>1009</v>
      </c>
      <c r="N68" s="351"/>
      <c r="O68" s="328"/>
      <c r="P68" s="280"/>
      <c r="Q68" s="280"/>
      <c r="R68" s="280"/>
      <c r="S68" s="280"/>
      <c r="T68" s="280"/>
      <c r="U68" s="280"/>
      <c r="V68" s="280"/>
      <c r="W68" s="280"/>
      <c r="X68" s="280"/>
      <c r="Y68" s="280"/>
      <c r="Z68" s="280"/>
    </row>
    <row r="69" spans="1:26" s="276" customFormat="1">
      <c r="A69" s="282" t="e">
        <f t="shared" ref="A69:B69" si="8">#REF!</f>
        <v>#REF!</v>
      </c>
      <c r="B69" s="283" t="e">
        <f t="shared" si="8"/>
        <v>#REF!</v>
      </c>
      <c r="C69" s="283">
        <f>$I$5</f>
        <v>0</v>
      </c>
      <c r="D69" s="284">
        <f>$I$7</f>
        <v>0</v>
      </c>
      <c r="E69" s="210"/>
      <c r="F69" s="329"/>
      <c r="G69" s="238" t="s">
        <v>286</v>
      </c>
      <c r="H69" s="301">
        <v>43327</v>
      </c>
      <c r="I69" s="211"/>
      <c r="J69" s="238" t="s">
        <v>282</v>
      </c>
      <c r="K69" s="238"/>
      <c r="L69" s="210"/>
      <c r="M69" s="210"/>
      <c r="N69" s="303" t="s">
        <v>1009</v>
      </c>
      <c r="O69" s="238"/>
      <c r="P69" s="275"/>
      <c r="Q69" s="275"/>
      <c r="R69" s="275"/>
      <c r="S69" s="275"/>
      <c r="T69" s="275"/>
      <c r="U69" s="275"/>
      <c r="V69" s="275"/>
      <c r="W69" s="275"/>
      <c r="X69" s="275"/>
      <c r="Y69" s="275"/>
      <c r="Z69" s="275"/>
    </row>
    <row r="70" spans="1:26" s="276" customFormat="1" ht="125.4">
      <c r="A70" s="285"/>
      <c r="B70" s="286"/>
      <c r="C70" s="286"/>
      <c r="D70" s="287"/>
      <c r="E70" s="330"/>
      <c r="F70" s="331"/>
      <c r="G70" s="238" t="s">
        <v>865</v>
      </c>
      <c r="H70" s="301">
        <v>43327</v>
      </c>
      <c r="I70" s="211"/>
      <c r="J70" s="328" t="s">
        <v>1027</v>
      </c>
      <c r="K70" s="350" t="s">
        <v>1011</v>
      </c>
      <c r="L70" s="311"/>
      <c r="M70" s="311" t="s">
        <v>1009</v>
      </c>
      <c r="N70" s="312"/>
      <c r="O70" s="332"/>
    </row>
    <row r="71" spans="1:26" s="276" customFormat="1" ht="12" thickBot="1">
      <c r="A71" s="285"/>
      <c r="B71" s="286"/>
      <c r="C71" s="286"/>
      <c r="D71" s="287"/>
      <c r="E71" s="330"/>
      <c r="F71" s="352"/>
      <c r="G71" s="238" t="s">
        <v>286</v>
      </c>
      <c r="H71" s="301">
        <v>43327</v>
      </c>
      <c r="I71" s="211"/>
      <c r="J71" s="238" t="s">
        <v>282</v>
      </c>
      <c r="K71" s="350"/>
      <c r="L71" s="311"/>
      <c r="M71" s="311"/>
      <c r="N71" s="312" t="s">
        <v>1009</v>
      </c>
      <c r="O71" s="332"/>
    </row>
    <row r="72" spans="1:26" s="281" customFormat="1" ht="91.8" thickBot="1">
      <c r="A72" s="288" t="e">
        <f t="shared" ref="A72:B72" si="9">#REF!</f>
        <v>#REF!</v>
      </c>
      <c r="B72" s="289" t="e">
        <f t="shared" si="9"/>
        <v>#REF!</v>
      </c>
      <c r="C72" s="289">
        <f>$I$5</f>
        <v>0</v>
      </c>
      <c r="D72" s="290">
        <f>$I$7</f>
        <v>0</v>
      </c>
      <c r="E72" s="353" t="s">
        <v>20</v>
      </c>
      <c r="F72" s="347"/>
      <c r="G72" s="328" t="s">
        <v>866</v>
      </c>
      <c r="H72" s="306">
        <v>43327</v>
      </c>
      <c r="I72" s="304"/>
      <c r="J72" s="328" t="s">
        <v>1022</v>
      </c>
      <c r="K72" s="328" t="s">
        <v>1011</v>
      </c>
      <c r="L72" s="354"/>
      <c r="M72" s="354" t="s">
        <v>1009</v>
      </c>
      <c r="N72" s="355"/>
      <c r="O72" s="356"/>
    </row>
    <row r="73" spans="1:26" s="276" customFormat="1">
      <c r="A73" s="291"/>
      <c r="B73" s="275"/>
      <c r="C73" s="275"/>
      <c r="D73" s="275"/>
      <c r="E73" s="330"/>
      <c r="F73" s="331"/>
      <c r="G73" s="238" t="s">
        <v>286</v>
      </c>
      <c r="H73" s="301">
        <v>43327</v>
      </c>
      <c r="I73" s="211"/>
      <c r="J73" s="238" t="s">
        <v>282</v>
      </c>
      <c r="K73" s="332"/>
      <c r="L73" s="311"/>
      <c r="M73" s="311"/>
      <c r="N73" s="312" t="s">
        <v>1009</v>
      </c>
      <c r="O73" s="332"/>
    </row>
    <row r="74" spans="1:26" s="281" customFormat="1" ht="114">
      <c r="A74" s="292"/>
      <c r="B74" s="280"/>
      <c r="C74" s="280"/>
      <c r="D74" s="280"/>
      <c r="E74" s="353"/>
      <c r="F74" s="347"/>
      <c r="G74" s="328" t="s">
        <v>867</v>
      </c>
      <c r="H74" s="306">
        <v>43327</v>
      </c>
      <c r="I74" s="304"/>
      <c r="J74" s="328" t="s">
        <v>1022</v>
      </c>
      <c r="K74" s="357" t="s">
        <v>1011</v>
      </c>
      <c r="L74" s="358"/>
      <c r="M74" s="358" t="s">
        <v>1009</v>
      </c>
      <c r="N74" s="359"/>
      <c r="O74" s="360"/>
      <c r="P74" s="280"/>
      <c r="Q74" s="280"/>
      <c r="R74" s="280"/>
      <c r="S74" s="280"/>
      <c r="T74" s="280"/>
      <c r="U74" s="280"/>
    </row>
    <row r="75" spans="1:26" s="276" customFormat="1" ht="12" customHeight="1">
      <c r="A75" s="291"/>
      <c r="B75" s="275"/>
      <c r="C75" s="275"/>
      <c r="D75" s="275"/>
      <c r="E75" s="330"/>
      <c r="F75" s="331"/>
      <c r="G75" s="238" t="s">
        <v>286</v>
      </c>
      <c r="H75" s="301">
        <v>43327</v>
      </c>
      <c r="I75" s="211"/>
      <c r="J75" s="238" t="s">
        <v>679</v>
      </c>
      <c r="K75" s="333"/>
      <c r="L75" s="314"/>
      <c r="M75" s="314"/>
      <c r="N75" s="315" t="s">
        <v>1009</v>
      </c>
      <c r="O75" s="331"/>
      <c r="P75" s="275"/>
      <c r="Q75" s="275"/>
      <c r="R75" s="275"/>
      <c r="S75" s="275"/>
      <c r="T75" s="275"/>
      <c r="U75" s="275"/>
    </row>
    <row r="76" spans="1:26" s="281" customFormat="1" ht="114" outlineLevel="1">
      <c r="A76" s="292"/>
      <c r="B76" s="280"/>
      <c r="C76" s="280"/>
      <c r="D76" s="280"/>
      <c r="E76" s="361"/>
      <c r="F76" s="347"/>
      <c r="G76" s="328" t="s">
        <v>868</v>
      </c>
      <c r="H76" s="306">
        <v>43327</v>
      </c>
      <c r="I76" s="304"/>
      <c r="J76" s="328" t="s">
        <v>1022</v>
      </c>
      <c r="K76" s="362" t="s">
        <v>1011</v>
      </c>
      <c r="L76" s="363"/>
      <c r="M76" s="363" t="s">
        <v>1009</v>
      </c>
      <c r="N76" s="364"/>
      <c r="O76" s="360"/>
      <c r="P76" s="280"/>
      <c r="Q76" s="280"/>
      <c r="R76" s="280"/>
      <c r="S76" s="280"/>
      <c r="T76" s="280"/>
      <c r="U76" s="280"/>
    </row>
    <row r="77" spans="1:26" s="276" customFormat="1" outlineLevel="1">
      <c r="A77" s="291"/>
      <c r="B77" s="275"/>
      <c r="C77" s="275"/>
      <c r="D77" s="275"/>
      <c r="E77" s="334"/>
      <c r="F77" s="256"/>
      <c r="G77" s="238" t="s">
        <v>286</v>
      </c>
      <c r="H77" s="301">
        <v>43327</v>
      </c>
      <c r="I77" s="211"/>
      <c r="J77" s="238" t="s">
        <v>282</v>
      </c>
      <c r="K77" s="335"/>
      <c r="L77" s="316"/>
      <c r="M77" s="316"/>
      <c r="N77" s="317" t="s">
        <v>1009</v>
      </c>
      <c r="O77" s="331"/>
      <c r="P77" s="275"/>
      <c r="Q77" s="275"/>
      <c r="R77" s="275"/>
      <c r="S77" s="275"/>
      <c r="T77" s="275"/>
      <c r="U77" s="275"/>
    </row>
    <row r="78" spans="1:26" s="276" customFormat="1" ht="91.2" outlineLevel="1">
      <c r="A78" s="291"/>
      <c r="B78" s="275"/>
      <c r="C78" s="275"/>
      <c r="D78" s="275"/>
      <c r="E78" s="334"/>
      <c r="F78" s="256"/>
      <c r="G78" s="238" t="s">
        <v>869</v>
      </c>
      <c r="H78" s="301">
        <v>43327</v>
      </c>
      <c r="I78" s="211"/>
      <c r="J78" s="328" t="s">
        <v>1028</v>
      </c>
      <c r="K78" s="335" t="s">
        <v>1011</v>
      </c>
      <c r="L78" s="316"/>
      <c r="M78" s="316" t="s">
        <v>1009</v>
      </c>
      <c r="N78" s="317"/>
      <c r="O78" s="331"/>
      <c r="P78" s="275"/>
      <c r="Q78" s="275"/>
      <c r="R78" s="275"/>
      <c r="S78" s="275"/>
      <c r="T78" s="275"/>
      <c r="U78" s="275"/>
    </row>
    <row r="79" spans="1:26" s="276" customFormat="1" outlineLevel="1">
      <c r="A79" s="291"/>
      <c r="B79" s="275"/>
      <c r="C79" s="275"/>
      <c r="D79" s="275"/>
      <c r="E79" s="334"/>
      <c r="F79" s="256"/>
      <c r="G79" s="238" t="s">
        <v>286</v>
      </c>
      <c r="H79" s="301">
        <v>43327</v>
      </c>
      <c r="I79" s="211"/>
      <c r="J79" s="238" t="s">
        <v>282</v>
      </c>
      <c r="K79" s="335"/>
      <c r="L79" s="316"/>
      <c r="M79" s="316"/>
      <c r="N79" s="317" t="s">
        <v>1009</v>
      </c>
      <c r="O79" s="331"/>
      <c r="P79" s="275"/>
      <c r="Q79" s="275"/>
      <c r="R79" s="275"/>
      <c r="S79" s="275"/>
      <c r="T79" s="275"/>
      <c r="U79" s="275"/>
    </row>
    <row r="80" spans="1:26" s="276" customFormat="1" ht="114" outlineLevel="1">
      <c r="A80" s="291"/>
      <c r="B80" s="275"/>
      <c r="C80" s="275"/>
      <c r="D80" s="275"/>
      <c r="E80" s="334"/>
      <c r="F80" s="256"/>
      <c r="G80" s="238" t="s">
        <v>1029</v>
      </c>
      <c r="H80" s="301">
        <v>43327</v>
      </c>
      <c r="I80" s="211"/>
      <c r="J80" s="328" t="s">
        <v>1028</v>
      </c>
      <c r="K80" s="335" t="s">
        <v>1011</v>
      </c>
      <c r="L80" s="316"/>
      <c r="M80" s="316" t="s">
        <v>1009</v>
      </c>
      <c r="N80" s="317"/>
      <c r="O80" s="331"/>
      <c r="P80" s="275"/>
      <c r="Q80" s="275"/>
      <c r="R80" s="275"/>
      <c r="S80" s="275"/>
      <c r="T80" s="275"/>
      <c r="U80" s="275"/>
    </row>
    <row r="81" spans="1:21" s="276" customFormat="1" outlineLevel="1">
      <c r="A81" s="291"/>
      <c r="B81" s="275"/>
      <c r="C81" s="275"/>
      <c r="D81" s="275"/>
      <c r="E81" s="334"/>
      <c r="F81" s="256"/>
      <c r="G81" s="238" t="s">
        <v>286</v>
      </c>
      <c r="H81" s="301">
        <v>43327</v>
      </c>
      <c r="I81" s="211"/>
      <c r="J81" s="238" t="s">
        <v>679</v>
      </c>
      <c r="K81" s="335"/>
      <c r="L81" s="316"/>
      <c r="M81" s="316"/>
      <c r="N81" s="317" t="s">
        <v>1009</v>
      </c>
      <c r="O81" s="331"/>
      <c r="P81" s="275"/>
      <c r="Q81" s="275"/>
      <c r="R81" s="275"/>
      <c r="S81" s="275"/>
      <c r="T81" s="275"/>
      <c r="U81" s="275"/>
    </row>
    <row r="82" spans="1:21" s="276" customFormat="1" ht="102.6" outlineLevel="1">
      <c r="A82" s="291"/>
      <c r="B82" s="275"/>
      <c r="C82" s="275"/>
      <c r="D82" s="275"/>
      <c r="E82" s="334"/>
      <c r="F82" s="256"/>
      <c r="G82" s="238" t="s">
        <v>870</v>
      </c>
      <c r="H82" s="301">
        <v>43327</v>
      </c>
      <c r="I82" s="211"/>
      <c r="J82" s="328" t="s">
        <v>1028</v>
      </c>
      <c r="K82" s="335" t="s">
        <v>1011</v>
      </c>
      <c r="L82" s="316"/>
      <c r="M82" s="316" t="s">
        <v>1009</v>
      </c>
      <c r="N82" s="317"/>
      <c r="O82" s="331"/>
      <c r="P82" s="275"/>
      <c r="Q82" s="275"/>
      <c r="R82" s="275"/>
      <c r="S82" s="275"/>
      <c r="T82" s="275"/>
      <c r="U82" s="275"/>
    </row>
    <row r="83" spans="1:21" s="276" customFormat="1" outlineLevel="1">
      <c r="A83" s="291"/>
      <c r="B83" s="275"/>
      <c r="C83" s="275"/>
      <c r="D83" s="275"/>
      <c r="E83" s="334"/>
      <c r="F83" s="256"/>
      <c r="G83" s="238" t="s">
        <v>286</v>
      </c>
      <c r="H83" s="301">
        <v>43327</v>
      </c>
      <c r="I83" s="211"/>
      <c r="J83" s="238" t="s">
        <v>679</v>
      </c>
      <c r="K83" s="333"/>
      <c r="L83" s="316"/>
      <c r="M83" s="316"/>
      <c r="N83" s="317" t="s">
        <v>1009</v>
      </c>
      <c r="O83" s="331"/>
      <c r="P83" s="275"/>
      <c r="Q83" s="275"/>
      <c r="R83" s="275"/>
      <c r="S83" s="275"/>
      <c r="T83" s="275"/>
      <c r="U83" s="275"/>
    </row>
    <row r="84" spans="1:21" s="276" customFormat="1" ht="114" outlineLevel="1">
      <c r="A84" s="291"/>
      <c r="B84" s="275"/>
      <c r="C84" s="275"/>
      <c r="D84" s="275"/>
      <c r="E84" s="334"/>
      <c r="F84" s="256"/>
      <c r="G84" s="238" t="s">
        <v>1030</v>
      </c>
      <c r="H84" s="301"/>
      <c r="I84" s="211"/>
      <c r="J84" s="328" t="s">
        <v>1027</v>
      </c>
      <c r="K84" s="335" t="s">
        <v>1011</v>
      </c>
      <c r="L84" s="316"/>
      <c r="M84" s="316" t="s">
        <v>1009</v>
      </c>
      <c r="N84" s="317"/>
      <c r="O84" s="331"/>
      <c r="P84" s="275"/>
      <c r="Q84" s="275"/>
      <c r="R84" s="275"/>
      <c r="S84" s="275"/>
      <c r="T84" s="275"/>
      <c r="U84" s="275"/>
    </row>
    <row r="85" spans="1:21" s="276" customFormat="1" outlineLevel="1">
      <c r="A85" s="291"/>
      <c r="B85" s="275"/>
      <c r="C85" s="275"/>
      <c r="D85" s="275"/>
      <c r="E85" s="334"/>
      <c r="F85" s="365"/>
      <c r="G85" s="338" t="s">
        <v>286</v>
      </c>
      <c r="H85" s="301">
        <v>43327</v>
      </c>
      <c r="I85" s="256"/>
      <c r="J85" s="369" t="s">
        <v>679</v>
      </c>
      <c r="K85" s="370"/>
      <c r="L85" s="318"/>
      <c r="M85" s="316"/>
      <c r="N85" s="317" t="s">
        <v>1009</v>
      </c>
      <c r="O85" s="340"/>
      <c r="P85" s="275"/>
      <c r="Q85" s="275"/>
      <c r="R85" s="275"/>
      <c r="S85" s="275"/>
      <c r="T85" s="275"/>
      <c r="U85" s="275"/>
    </row>
    <row r="86" spans="1:21" s="281" customFormat="1" ht="114" outlineLevel="1">
      <c r="A86" s="292"/>
      <c r="B86" s="280"/>
      <c r="C86" s="280"/>
      <c r="D86" s="280"/>
      <c r="E86" s="361"/>
      <c r="F86" s="406"/>
      <c r="G86" s="350" t="s">
        <v>1035</v>
      </c>
      <c r="H86" s="407"/>
      <c r="I86" s="408"/>
      <c r="J86" s="350" t="s">
        <v>1031</v>
      </c>
      <c r="K86" s="409"/>
      <c r="L86" s="405"/>
      <c r="M86" s="405" t="s">
        <v>1009</v>
      </c>
      <c r="N86" s="405"/>
      <c r="O86" s="410"/>
      <c r="P86" s="280"/>
      <c r="Q86" s="280"/>
      <c r="R86" s="280"/>
      <c r="S86" s="280"/>
      <c r="T86" s="280"/>
      <c r="U86" s="280"/>
    </row>
    <row r="87" spans="1:21" s="276" customFormat="1" outlineLevel="1">
      <c r="A87" s="291"/>
      <c r="B87" s="275"/>
      <c r="C87" s="275"/>
      <c r="D87" s="275"/>
      <c r="E87" s="334"/>
      <c r="F87" s="365"/>
      <c r="G87" s="367" t="s">
        <v>286</v>
      </c>
      <c r="H87" s="366">
        <v>43327</v>
      </c>
      <c r="I87" s="365"/>
      <c r="J87" s="367" t="s">
        <v>679</v>
      </c>
      <c r="K87" s="374"/>
      <c r="L87" s="373"/>
      <c r="M87" s="373"/>
      <c r="N87" s="373" t="s">
        <v>1009</v>
      </c>
      <c r="O87" s="376"/>
      <c r="P87" s="275"/>
      <c r="Q87" s="275"/>
      <c r="R87" s="275"/>
      <c r="S87" s="275"/>
      <c r="T87" s="275"/>
      <c r="U87" s="275"/>
    </row>
    <row r="88" spans="1:21" s="281" customFormat="1" ht="125.4" outlineLevel="1">
      <c r="A88" s="292"/>
      <c r="B88" s="280"/>
      <c r="C88" s="280"/>
      <c r="D88" s="280"/>
      <c r="E88" s="361"/>
      <c r="F88" s="406"/>
      <c r="G88" s="350" t="s">
        <v>1034</v>
      </c>
      <c r="H88" s="411"/>
      <c r="I88" s="406"/>
      <c r="J88" s="350" t="s">
        <v>1031</v>
      </c>
      <c r="K88" s="412"/>
      <c r="L88" s="405"/>
      <c r="M88" s="405" t="s">
        <v>1009</v>
      </c>
      <c r="N88" s="405"/>
      <c r="O88" s="413"/>
      <c r="P88" s="280"/>
      <c r="Q88" s="280"/>
      <c r="R88" s="280"/>
      <c r="S88" s="280"/>
      <c r="T88" s="280"/>
      <c r="U88" s="280"/>
    </row>
    <row r="89" spans="1:21" s="276" customFormat="1" outlineLevel="1">
      <c r="A89" s="291"/>
      <c r="B89" s="275"/>
      <c r="C89" s="275"/>
      <c r="D89" s="275"/>
      <c r="E89" s="334"/>
      <c r="F89" s="365"/>
      <c r="G89" s="367" t="s">
        <v>286</v>
      </c>
      <c r="H89" s="366">
        <v>43327</v>
      </c>
      <c r="I89" s="365"/>
      <c r="J89" s="367" t="s">
        <v>679</v>
      </c>
      <c r="K89" s="368"/>
      <c r="L89" s="373"/>
      <c r="M89" s="373"/>
      <c r="N89" s="373" t="s">
        <v>1009</v>
      </c>
      <c r="O89" s="376"/>
      <c r="P89" s="275"/>
      <c r="Q89" s="275"/>
      <c r="R89" s="275"/>
      <c r="S89" s="275"/>
      <c r="T89" s="275"/>
      <c r="U89" s="275"/>
    </row>
    <row r="90" spans="1:21" s="276" customFormat="1" ht="45.6">
      <c r="A90" s="291"/>
      <c r="B90" s="275"/>
      <c r="C90" s="275"/>
      <c r="D90" s="275"/>
      <c r="E90" s="334">
        <v>6</v>
      </c>
      <c r="F90" s="256" t="s">
        <v>337</v>
      </c>
      <c r="G90" s="336" t="s">
        <v>871</v>
      </c>
      <c r="H90" s="301">
        <v>43327</v>
      </c>
      <c r="I90" s="211"/>
      <c r="J90" s="337" t="s">
        <v>686</v>
      </c>
      <c r="K90" s="337" t="s">
        <v>686</v>
      </c>
      <c r="L90" s="375" t="s">
        <v>1009</v>
      </c>
      <c r="M90" s="371"/>
      <c r="N90" s="372"/>
      <c r="O90" s="331"/>
      <c r="P90" s="275"/>
      <c r="Q90" s="275"/>
      <c r="R90" s="275"/>
      <c r="S90" s="275"/>
      <c r="T90" s="275"/>
      <c r="U90" s="275"/>
    </row>
    <row r="91" spans="1:21" s="276" customFormat="1" ht="57">
      <c r="A91" s="291"/>
      <c r="B91" s="275"/>
      <c r="C91" s="275"/>
      <c r="D91" s="275"/>
      <c r="E91" s="330"/>
      <c r="F91" s="329"/>
      <c r="G91" s="238" t="s">
        <v>872</v>
      </c>
      <c r="H91" s="301">
        <v>43327</v>
      </c>
      <c r="I91" s="211"/>
      <c r="J91" s="211" t="s">
        <v>688</v>
      </c>
      <c r="K91" s="211" t="s">
        <v>688</v>
      </c>
      <c r="L91" s="314" t="s">
        <v>1009</v>
      </c>
      <c r="M91" s="314"/>
      <c r="N91" s="315"/>
      <c r="O91" s="331"/>
      <c r="P91" s="275"/>
      <c r="Q91" s="275"/>
      <c r="R91" s="275"/>
      <c r="S91" s="275"/>
      <c r="T91" s="275"/>
      <c r="U91" s="275"/>
    </row>
    <row r="92" spans="1:21" s="276" customFormat="1" ht="45.6">
      <c r="A92" s="291"/>
      <c r="B92" s="275"/>
      <c r="C92" s="275"/>
      <c r="D92" s="275"/>
      <c r="E92" s="330"/>
      <c r="F92" s="329"/>
      <c r="G92" s="336" t="s">
        <v>873</v>
      </c>
      <c r="H92" s="301">
        <v>43327</v>
      </c>
      <c r="I92" s="211"/>
      <c r="J92" s="238" t="s">
        <v>690</v>
      </c>
      <c r="K92" s="238" t="s">
        <v>690</v>
      </c>
      <c r="L92" s="314" t="s">
        <v>1009</v>
      </c>
      <c r="M92" s="314"/>
      <c r="N92" s="315"/>
      <c r="O92" s="331"/>
      <c r="P92" s="275"/>
      <c r="Q92" s="275"/>
      <c r="R92" s="275"/>
      <c r="S92" s="275"/>
      <c r="T92" s="275"/>
      <c r="U92" s="275"/>
    </row>
    <row r="93" spans="1:21" s="276" customFormat="1" ht="45.6">
      <c r="A93" s="291"/>
      <c r="B93" s="275"/>
      <c r="C93" s="275"/>
      <c r="D93" s="275"/>
      <c r="E93" s="330"/>
      <c r="F93" s="329"/>
      <c r="G93" s="238" t="s">
        <v>874</v>
      </c>
      <c r="H93" s="301">
        <v>43327</v>
      </c>
      <c r="I93" s="211"/>
      <c r="J93" s="337" t="s">
        <v>690</v>
      </c>
      <c r="K93" s="337" t="s">
        <v>690</v>
      </c>
      <c r="L93" s="314" t="s">
        <v>1009</v>
      </c>
      <c r="M93" s="314"/>
      <c r="N93" s="315"/>
      <c r="O93" s="331"/>
      <c r="P93" s="275"/>
      <c r="Q93" s="275"/>
      <c r="R93" s="275"/>
      <c r="S93" s="275"/>
      <c r="T93" s="275"/>
      <c r="U93" s="275"/>
    </row>
    <row r="94" spans="1:21" s="276" customFormat="1" ht="45.6">
      <c r="A94" s="291"/>
      <c r="B94" s="275"/>
      <c r="C94" s="275"/>
      <c r="D94" s="275"/>
      <c r="E94" s="330"/>
      <c r="F94" s="329"/>
      <c r="G94" s="238" t="s">
        <v>875</v>
      </c>
      <c r="H94" s="301">
        <v>43327</v>
      </c>
      <c r="I94" s="211"/>
      <c r="J94" s="211" t="s">
        <v>690</v>
      </c>
      <c r="K94" s="211" t="s">
        <v>690</v>
      </c>
      <c r="L94" s="314" t="s">
        <v>1009</v>
      </c>
      <c r="M94" s="314"/>
      <c r="N94" s="315"/>
      <c r="O94" s="331"/>
      <c r="P94" s="275"/>
      <c r="Q94" s="275"/>
      <c r="R94" s="275"/>
      <c r="S94" s="275"/>
      <c r="T94" s="275"/>
      <c r="U94" s="275"/>
    </row>
    <row r="95" spans="1:21" s="276" customFormat="1" ht="45.6">
      <c r="A95" s="291"/>
      <c r="B95" s="275"/>
      <c r="C95" s="275"/>
      <c r="D95" s="275"/>
      <c r="E95" s="330"/>
      <c r="F95" s="329"/>
      <c r="G95" s="238" t="s">
        <v>876</v>
      </c>
      <c r="H95" s="301">
        <v>43327</v>
      </c>
      <c r="I95" s="211"/>
      <c r="J95" s="211" t="s">
        <v>690</v>
      </c>
      <c r="K95" s="211" t="s">
        <v>690</v>
      </c>
      <c r="L95" s="314" t="s">
        <v>1009</v>
      </c>
      <c r="M95" s="314"/>
      <c r="N95" s="315"/>
      <c r="O95" s="331"/>
      <c r="P95" s="275"/>
      <c r="Q95" s="275"/>
      <c r="R95" s="275"/>
      <c r="S95" s="275"/>
      <c r="T95" s="275"/>
      <c r="U95" s="275"/>
    </row>
    <row r="96" spans="1:21" s="276" customFormat="1" ht="45.6">
      <c r="A96" s="291"/>
      <c r="B96" s="275"/>
      <c r="C96" s="275"/>
      <c r="D96" s="275"/>
      <c r="E96" s="330"/>
      <c r="F96" s="329"/>
      <c r="G96" s="238" t="s">
        <v>877</v>
      </c>
      <c r="H96" s="301">
        <v>43327</v>
      </c>
      <c r="I96" s="211"/>
      <c r="J96" s="211" t="s">
        <v>878</v>
      </c>
      <c r="K96" s="211" t="s">
        <v>878</v>
      </c>
      <c r="L96" s="314" t="s">
        <v>1009</v>
      </c>
      <c r="M96" s="314"/>
      <c r="N96" s="315"/>
      <c r="O96" s="331"/>
      <c r="P96" s="275"/>
      <c r="Q96" s="275"/>
      <c r="R96" s="275"/>
      <c r="S96" s="275"/>
      <c r="T96" s="275"/>
      <c r="U96" s="275"/>
    </row>
    <row r="97" spans="1:21" s="276" customFormat="1" ht="45.6">
      <c r="A97" s="291"/>
      <c r="B97" s="275"/>
      <c r="C97" s="275"/>
      <c r="D97" s="275"/>
      <c r="E97" s="330"/>
      <c r="F97" s="329"/>
      <c r="G97" s="238" t="s">
        <v>879</v>
      </c>
      <c r="H97" s="301">
        <v>43327</v>
      </c>
      <c r="I97" s="211"/>
      <c r="J97" s="211" t="s">
        <v>880</v>
      </c>
      <c r="K97" s="211" t="s">
        <v>880</v>
      </c>
      <c r="L97" s="314" t="s">
        <v>1009</v>
      </c>
      <c r="M97" s="314"/>
      <c r="N97" s="315"/>
      <c r="O97" s="331"/>
      <c r="P97" s="275"/>
      <c r="Q97" s="275"/>
      <c r="R97" s="275"/>
      <c r="S97" s="275"/>
      <c r="T97" s="275"/>
      <c r="U97" s="275"/>
    </row>
    <row r="98" spans="1:21" s="276" customFormat="1" ht="45.6">
      <c r="A98" s="291"/>
      <c r="B98" s="275"/>
      <c r="C98" s="275"/>
      <c r="D98" s="275"/>
      <c r="E98" s="330"/>
      <c r="F98" s="329"/>
      <c r="G98" s="238" t="s">
        <v>881</v>
      </c>
      <c r="H98" s="301">
        <v>43327</v>
      </c>
      <c r="I98" s="211"/>
      <c r="J98" s="211" t="s">
        <v>880</v>
      </c>
      <c r="K98" s="211" t="s">
        <v>880</v>
      </c>
      <c r="L98" s="314" t="s">
        <v>1009</v>
      </c>
      <c r="M98" s="314"/>
      <c r="N98" s="315"/>
      <c r="O98" s="331"/>
      <c r="P98" s="275"/>
      <c r="Q98" s="275"/>
      <c r="R98" s="275"/>
      <c r="S98" s="275"/>
      <c r="T98" s="275"/>
      <c r="U98" s="275"/>
    </row>
    <row r="99" spans="1:21" s="276" customFormat="1" ht="45.6">
      <c r="A99" s="291"/>
      <c r="B99" s="275"/>
      <c r="C99" s="275"/>
      <c r="D99" s="275"/>
      <c r="E99" s="330"/>
      <c r="F99" s="329"/>
      <c r="G99" s="238" t="s">
        <v>882</v>
      </c>
      <c r="H99" s="301">
        <v>43327</v>
      </c>
      <c r="I99" s="211"/>
      <c r="J99" s="211" t="s">
        <v>883</v>
      </c>
      <c r="K99" s="211" t="s">
        <v>883</v>
      </c>
      <c r="L99" s="314" t="s">
        <v>1009</v>
      </c>
      <c r="M99" s="314"/>
      <c r="N99" s="315"/>
      <c r="O99" s="331"/>
      <c r="P99" s="275"/>
      <c r="Q99" s="275"/>
      <c r="R99" s="275"/>
      <c r="S99" s="275"/>
      <c r="T99" s="275"/>
      <c r="U99" s="275"/>
    </row>
    <row r="100" spans="1:21" s="276" customFormat="1" ht="45.6">
      <c r="A100" s="291"/>
      <c r="B100" s="275"/>
      <c r="C100" s="275"/>
      <c r="D100" s="275"/>
      <c r="E100" s="330"/>
      <c r="F100" s="329"/>
      <c r="G100" s="238" t="s">
        <v>884</v>
      </c>
      <c r="H100" s="301">
        <v>43327</v>
      </c>
      <c r="I100" s="211"/>
      <c r="J100" s="211" t="s">
        <v>880</v>
      </c>
      <c r="K100" s="211" t="s">
        <v>880</v>
      </c>
      <c r="L100" s="314" t="s">
        <v>1009</v>
      </c>
      <c r="M100" s="314"/>
      <c r="N100" s="315"/>
      <c r="O100" s="331"/>
      <c r="P100" s="275"/>
      <c r="Q100" s="275"/>
      <c r="R100" s="275"/>
      <c r="S100" s="275"/>
      <c r="T100" s="275"/>
      <c r="U100" s="275"/>
    </row>
    <row r="101" spans="1:21" s="276" customFormat="1" ht="45.6">
      <c r="A101" s="291"/>
      <c r="B101" s="275"/>
      <c r="C101" s="275"/>
      <c r="D101" s="275"/>
      <c r="E101" s="330"/>
      <c r="F101" s="329"/>
      <c r="G101" s="238" t="s">
        <v>885</v>
      </c>
      <c r="H101" s="301">
        <v>43327</v>
      </c>
      <c r="I101" s="211"/>
      <c r="J101" s="211" t="s">
        <v>880</v>
      </c>
      <c r="K101" s="211" t="s">
        <v>880</v>
      </c>
      <c r="L101" s="314" t="s">
        <v>1009</v>
      </c>
      <c r="M101" s="314"/>
      <c r="N101" s="315"/>
      <c r="O101" s="331"/>
      <c r="P101" s="275"/>
      <c r="Q101" s="275"/>
      <c r="R101" s="275"/>
      <c r="S101" s="275"/>
      <c r="T101" s="275"/>
      <c r="U101" s="275"/>
    </row>
    <row r="102" spans="1:21" s="276" customFormat="1" ht="45.6">
      <c r="A102" s="291"/>
      <c r="B102" s="275"/>
      <c r="C102" s="275"/>
      <c r="D102" s="275"/>
      <c r="E102" s="330"/>
      <c r="F102" s="329"/>
      <c r="G102" s="238" t="s">
        <v>886</v>
      </c>
      <c r="H102" s="301">
        <v>43327</v>
      </c>
      <c r="I102" s="211"/>
      <c r="J102" s="211" t="s">
        <v>880</v>
      </c>
      <c r="K102" s="211" t="s">
        <v>880</v>
      </c>
      <c r="L102" s="314" t="s">
        <v>1009</v>
      </c>
      <c r="M102" s="314"/>
      <c r="N102" s="315"/>
      <c r="O102" s="331"/>
      <c r="P102" s="275"/>
      <c r="Q102" s="275"/>
      <c r="R102" s="275"/>
      <c r="S102" s="275"/>
      <c r="T102" s="275"/>
      <c r="U102" s="275"/>
    </row>
    <row r="103" spans="1:21" s="276" customFormat="1" ht="45.6">
      <c r="A103" s="291"/>
      <c r="B103" s="275"/>
      <c r="C103" s="275"/>
      <c r="D103" s="275"/>
      <c r="E103" s="330"/>
      <c r="F103" s="329"/>
      <c r="G103" s="238" t="s">
        <v>887</v>
      </c>
      <c r="H103" s="301">
        <v>43327</v>
      </c>
      <c r="I103" s="211"/>
      <c r="J103" s="211" t="s">
        <v>888</v>
      </c>
      <c r="K103" s="211" t="s">
        <v>888</v>
      </c>
      <c r="L103" s="314" t="s">
        <v>1009</v>
      </c>
      <c r="M103" s="314"/>
      <c r="N103" s="315"/>
      <c r="O103" s="331"/>
      <c r="P103" s="275"/>
      <c r="Q103" s="275"/>
      <c r="R103" s="275"/>
      <c r="S103" s="275"/>
      <c r="T103" s="275"/>
      <c r="U103" s="275"/>
    </row>
    <row r="104" spans="1:21" s="276" customFormat="1" ht="45.6">
      <c r="A104" s="291"/>
      <c r="B104" s="275"/>
      <c r="C104" s="275"/>
      <c r="D104" s="275"/>
      <c r="E104" s="330"/>
      <c r="F104" s="329"/>
      <c r="G104" s="238" t="s">
        <v>889</v>
      </c>
      <c r="H104" s="301">
        <v>43327</v>
      </c>
      <c r="I104" s="211"/>
      <c r="J104" s="211" t="s">
        <v>890</v>
      </c>
      <c r="K104" s="211" t="s">
        <v>890</v>
      </c>
      <c r="L104" s="314" t="s">
        <v>1009</v>
      </c>
      <c r="M104" s="314"/>
      <c r="N104" s="315"/>
      <c r="O104" s="331"/>
      <c r="P104" s="275"/>
      <c r="Q104" s="275"/>
      <c r="R104" s="275"/>
      <c r="S104" s="275"/>
      <c r="T104" s="275"/>
      <c r="U104" s="275"/>
    </row>
    <row r="105" spans="1:21" s="276" customFormat="1" ht="45.6">
      <c r="A105" s="291"/>
      <c r="B105" s="275"/>
      <c r="C105" s="275"/>
      <c r="D105" s="275"/>
      <c r="E105" s="330"/>
      <c r="F105" s="329"/>
      <c r="G105" s="238" t="s">
        <v>891</v>
      </c>
      <c r="H105" s="301">
        <v>43327</v>
      </c>
      <c r="I105" s="211"/>
      <c r="J105" s="211" t="s">
        <v>892</v>
      </c>
      <c r="K105" s="211" t="s">
        <v>892</v>
      </c>
      <c r="L105" s="314" t="s">
        <v>1009</v>
      </c>
      <c r="M105" s="314"/>
      <c r="N105" s="315"/>
      <c r="O105" s="331"/>
      <c r="P105" s="275"/>
      <c r="Q105" s="275"/>
      <c r="R105" s="275"/>
      <c r="S105" s="275"/>
      <c r="T105" s="275"/>
      <c r="U105" s="275"/>
    </row>
    <row r="106" spans="1:21" s="276" customFormat="1" ht="45.6">
      <c r="A106" s="291"/>
      <c r="B106" s="275"/>
      <c r="C106" s="275"/>
      <c r="D106" s="275"/>
      <c r="E106" s="330"/>
      <c r="F106" s="329"/>
      <c r="G106" s="238" t="s">
        <v>893</v>
      </c>
      <c r="H106" s="301">
        <v>43327</v>
      </c>
      <c r="I106" s="211"/>
      <c r="J106" s="211" t="s">
        <v>892</v>
      </c>
      <c r="K106" s="211" t="s">
        <v>892</v>
      </c>
      <c r="L106" s="314" t="s">
        <v>1009</v>
      </c>
      <c r="M106" s="314"/>
      <c r="N106" s="315"/>
      <c r="O106" s="331"/>
      <c r="P106" s="275"/>
      <c r="Q106" s="275"/>
      <c r="R106" s="275"/>
      <c r="S106" s="275"/>
      <c r="T106" s="275"/>
      <c r="U106" s="275"/>
    </row>
    <row r="107" spans="1:21" s="276" customFormat="1" ht="45.6">
      <c r="A107" s="291"/>
      <c r="B107" s="275"/>
      <c r="C107" s="275"/>
      <c r="D107" s="275"/>
      <c r="E107" s="330"/>
      <c r="F107" s="329"/>
      <c r="G107" s="238" t="s">
        <v>894</v>
      </c>
      <c r="H107" s="301">
        <v>43327</v>
      </c>
      <c r="I107" s="211"/>
      <c r="J107" s="211" t="s">
        <v>895</v>
      </c>
      <c r="K107" s="211" t="s">
        <v>895</v>
      </c>
      <c r="L107" s="314" t="s">
        <v>1009</v>
      </c>
      <c r="M107" s="314"/>
      <c r="N107" s="315"/>
      <c r="O107" s="331"/>
      <c r="P107" s="275"/>
      <c r="Q107" s="275"/>
      <c r="R107" s="275"/>
      <c r="S107" s="275"/>
      <c r="T107" s="275"/>
      <c r="U107" s="275"/>
    </row>
    <row r="108" spans="1:21" s="276" customFormat="1" ht="57">
      <c r="A108" s="291"/>
      <c r="B108" s="275"/>
      <c r="C108" s="275"/>
      <c r="D108" s="275"/>
      <c r="E108" s="330"/>
      <c r="F108" s="329"/>
      <c r="G108" s="238" t="s">
        <v>896</v>
      </c>
      <c r="H108" s="301">
        <v>43327</v>
      </c>
      <c r="I108" s="211"/>
      <c r="J108" s="211" t="s">
        <v>892</v>
      </c>
      <c r="K108" s="211" t="s">
        <v>892</v>
      </c>
      <c r="L108" s="314" t="s">
        <v>1009</v>
      </c>
      <c r="M108" s="314"/>
      <c r="N108" s="315"/>
      <c r="O108" s="331"/>
      <c r="P108" s="275"/>
      <c r="Q108" s="275"/>
      <c r="R108" s="275"/>
      <c r="S108" s="275"/>
      <c r="T108" s="275"/>
      <c r="U108" s="275"/>
    </row>
    <row r="109" spans="1:21" s="276" customFormat="1" ht="45.6">
      <c r="A109" s="291"/>
      <c r="B109" s="275"/>
      <c r="C109" s="275"/>
      <c r="D109" s="275"/>
      <c r="E109" s="330"/>
      <c r="F109" s="329"/>
      <c r="G109" s="238" t="s">
        <v>897</v>
      </c>
      <c r="H109" s="301">
        <v>43327</v>
      </c>
      <c r="I109" s="211"/>
      <c r="J109" s="211" t="s">
        <v>892</v>
      </c>
      <c r="K109" s="211" t="s">
        <v>892</v>
      </c>
      <c r="L109" s="314" t="s">
        <v>1009</v>
      </c>
      <c r="M109" s="314"/>
      <c r="N109" s="315"/>
      <c r="O109" s="331"/>
      <c r="P109" s="275"/>
      <c r="Q109" s="275"/>
      <c r="R109" s="275"/>
      <c r="S109" s="275"/>
      <c r="T109" s="275"/>
      <c r="U109" s="275"/>
    </row>
    <row r="110" spans="1:21" s="276" customFormat="1" ht="45.6">
      <c r="A110" s="291"/>
      <c r="B110" s="275"/>
      <c r="C110" s="275"/>
      <c r="D110" s="275"/>
      <c r="E110" s="330"/>
      <c r="F110" s="329"/>
      <c r="G110" s="238" t="s">
        <v>898</v>
      </c>
      <c r="H110" s="301">
        <v>43327</v>
      </c>
      <c r="I110" s="211"/>
      <c r="J110" s="211" t="s">
        <v>892</v>
      </c>
      <c r="K110" s="211" t="s">
        <v>892</v>
      </c>
      <c r="L110" s="314" t="s">
        <v>1009</v>
      </c>
      <c r="M110" s="314"/>
      <c r="N110" s="315"/>
      <c r="O110" s="331"/>
      <c r="P110" s="275"/>
      <c r="Q110" s="275"/>
      <c r="R110" s="275"/>
      <c r="S110" s="275"/>
      <c r="T110" s="275"/>
      <c r="U110" s="275"/>
    </row>
    <row r="111" spans="1:21" s="276" customFormat="1" ht="45.6">
      <c r="A111" s="291"/>
      <c r="B111" s="275"/>
      <c r="C111" s="275"/>
      <c r="D111" s="275"/>
      <c r="E111" s="330"/>
      <c r="F111" s="329"/>
      <c r="G111" s="238" t="s">
        <v>899</v>
      </c>
      <c r="H111" s="301">
        <v>43327</v>
      </c>
      <c r="I111" s="211"/>
      <c r="J111" s="211" t="s">
        <v>892</v>
      </c>
      <c r="K111" s="211" t="s">
        <v>892</v>
      </c>
      <c r="L111" s="314" t="s">
        <v>1009</v>
      </c>
      <c r="M111" s="314"/>
      <c r="N111" s="315"/>
      <c r="O111" s="331"/>
      <c r="P111" s="275"/>
      <c r="Q111" s="275"/>
      <c r="R111" s="275"/>
      <c r="S111" s="275"/>
      <c r="T111" s="275"/>
      <c r="U111" s="275"/>
    </row>
    <row r="112" spans="1:21" s="276" customFormat="1" ht="45.6">
      <c r="A112" s="291"/>
      <c r="B112" s="275"/>
      <c r="C112" s="275"/>
      <c r="D112" s="275"/>
      <c r="E112" s="330"/>
      <c r="F112" s="329"/>
      <c r="G112" s="238" t="s">
        <v>900</v>
      </c>
      <c r="H112" s="301">
        <v>43327</v>
      </c>
      <c r="I112" s="211"/>
      <c r="J112" s="211" t="s">
        <v>333</v>
      </c>
      <c r="K112" s="211" t="s">
        <v>333</v>
      </c>
      <c r="L112" s="314" t="s">
        <v>1009</v>
      </c>
      <c r="M112" s="314"/>
      <c r="N112" s="315"/>
      <c r="O112" s="331"/>
      <c r="P112" s="275"/>
      <c r="Q112" s="275"/>
      <c r="R112" s="275"/>
      <c r="S112" s="275"/>
      <c r="T112" s="275"/>
      <c r="U112" s="275"/>
    </row>
    <row r="113" spans="1:26" s="276" customFormat="1" ht="22.8">
      <c r="A113" s="291"/>
      <c r="B113" s="275"/>
      <c r="C113" s="275"/>
      <c r="D113" s="275"/>
      <c r="E113" s="330"/>
      <c r="F113" s="329"/>
      <c r="G113" s="238" t="s">
        <v>286</v>
      </c>
      <c r="H113" s="301">
        <v>43327</v>
      </c>
      <c r="I113" s="211"/>
      <c r="J113" s="211" t="s">
        <v>720</v>
      </c>
      <c r="K113" s="211" t="s">
        <v>720</v>
      </c>
      <c r="L113" s="314" t="s">
        <v>1009</v>
      </c>
      <c r="M113" s="314"/>
      <c r="N113" s="315"/>
      <c r="O113" s="331"/>
      <c r="P113" s="275"/>
      <c r="Q113" s="275"/>
      <c r="R113" s="275"/>
      <c r="S113" s="275"/>
      <c r="T113" s="275"/>
      <c r="U113" s="275"/>
    </row>
    <row r="114" spans="1:26" s="276" customFormat="1" ht="57">
      <c r="A114" s="291"/>
      <c r="B114" s="275"/>
      <c r="C114" s="275"/>
      <c r="D114" s="275"/>
      <c r="E114" s="330"/>
      <c r="F114" s="329"/>
      <c r="G114" s="238" t="s">
        <v>901</v>
      </c>
      <c r="H114" s="301">
        <v>43327</v>
      </c>
      <c r="I114" s="211"/>
      <c r="J114" s="211" t="s">
        <v>288</v>
      </c>
      <c r="K114" s="211" t="s">
        <v>288</v>
      </c>
      <c r="L114" s="314" t="s">
        <v>1009</v>
      </c>
      <c r="M114" s="314"/>
      <c r="N114" s="315"/>
      <c r="O114" s="331"/>
      <c r="P114" s="275"/>
      <c r="Q114" s="275"/>
      <c r="R114" s="275"/>
      <c r="S114" s="275"/>
      <c r="T114" s="275"/>
      <c r="U114" s="275"/>
    </row>
    <row r="115" spans="1:26" s="276" customFormat="1" ht="34.200000000000003">
      <c r="A115" s="291"/>
      <c r="B115" s="275"/>
      <c r="C115" s="275"/>
      <c r="D115" s="275"/>
      <c r="E115" s="330"/>
      <c r="F115" s="329"/>
      <c r="G115" s="238" t="s">
        <v>289</v>
      </c>
      <c r="H115" s="301">
        <v>43327</v>
      </c>
      <c r="I115" s="211"/>
      <c r="J115" s="211" t="s">
        <v>282</v>
      </c>
      <c r="K115" s="331"/>
      <c r="L115" s="314" t="s">
        <v>1009</v>
      </c>
      <c r="M115" s="314"/>
      <c r="N115" s="315"/>
      <c r="O115" s="331"/>
      <c r="P115" s="275"/>
      <c r="Q115" s="275"/>
      <c r="R115" s="275"/>
      <c r="S115" s="275"/>
      <c r="T115" s="275"/>
      <c r="U115" s="275"/>
    </row>
    <row r="116" spans="1:26" s="276" customFormat="1" ht="34.200000000000003">
      <c r="A116" s="291"/>
      <c r="B116" s="275"/>
      <c r="C116" s="275"/>
      <c r="D116" s="275"/>
      <c r="E116" s="330"/>
      <c r="F116" s="329"/>
      <c r="G116" s="238" t="s">
        <v>290</v>
      </c>
      <c r="H116" s="301">
        <v>43327</v>
      </c>
      <c r="I116" s="211"/>
      <c r="J116" s="211" t="s">
        <v>722</v>
      </c>
      <c r="K116" s="211" t="s">
        <v>722</v>
      </c>
      <c r="L116" s="314" t="s">
        <v>1009</v>
      </c>
      <c r="M116" s="314"/>
      <c r="N116" s="315"/>
      <c r="O116" s="331"/>
      <c r="P116" s="275"/>
      <c r="Q116" s="275"/>
      <c r="R116" s="275"/>
      <c r="S116" s="275"/>
      <c r="T116" s="275"/>
      <c r="U116" s="275"/>
      <c r="V116" s="275"/>
      <c r="W116" s="275"/>
      <c r="X116" s="275"/>
      <c r="Y116" s="275"/>
      <c r="Z116" s="275"/>
    </row>
    <row r="117" spans="1:26" s="276" customFormat="1" ht="15.75" customHeight="1">
      <c r="A117" s="291"/>
      <c r="B117" s="275"/>
      <c r="C117" s="275"/>
      <c r="D117" s="275"/>
      <c r="E117" s="330"/>
      <c r="F117" s="329"/>
      <c r="G117" s="238" t="s">
        <v>286</v>
      </c>
      <c r="H117" s="301">
        <v>43327</v>
      </c>
      <c r="I117" s="211"/>
      <c r="J117" s="211" t="s">
        <v>282</v>
      </c>
      <c r="K117" s="331"/>
      <c r="L117" s="314" t="s">
        <v>1009</v>
      </c>
      <c r="M117" s="314"/>
      <c r="N117" s="315"/>
      <c r="O117" s="331"/>
      <c r="P117" s="275"/>
      <c r="Q117" s="275"/>
      <c r="R117" s="275"/>
      <c r="S117" s="275"/>
      <c r="T117" s="275"/>
      <c r="U117" s="275"/>
      <c r="V117" s="275"/>
      <c r="W117" s="275"/>
      <c r="X117" s="275"/>
      <c r="Y117" s="275"/>
      <c r="Z117" s="275"/>
    </row>
    <row r="118" spans="1:26" s="276" customFormat="1" ht="57">
      <c r="A118" s="291"/>
      <c r="B118" s="275"/>
      <c r="C118" s="275"/>
      <c r="D118" s="275"/>
      <c r="E118" s="330"/>
      <c r="F118" s="329"/>
      <c r="G118" s="238" t="s">
        <v>902</v>
      </c>
      <c r="H118" s="301">
        <v>43327</v>
      </c>
      <c r="I118" s="211"/>
      <c r="J118" s="211" t="s">
        <v>724</v>
      </c>
      <c r="K118" s="211" t="s">
        <v>724</v>
      </c>
      <c r="L118" s="314" t="s">
        <v>1009</v>
      </c>
      <c r="M118" s="314"/>
      <c r="N118" s="315"/>
      <c r="O118" s="331"/>
      <c r="P118" s="275"/>
      <c r="Q118" s="275"/>
      <c r="R118" s="275"/>
      <c r="S118" s="275"/>
      <c r="T118" s="275"/>
      <c r="U118" s="275"/>
      <c r="V118" s="275"/>
      <c r="W118" s="275"/>
      <c r="X118" s="275"/>
      <c r="Y118" s="275"/>
      <c r="Z118" s="275"/>
    </row>
    <row r="119" spans="1:26" s="276" customFormat="1">
      <c r="A119" s="291"/>
      <c r="B119" s="275"/>
      <c r="C119" s="275"/>
      <c r="D119" s="275"/>
      <c r="E119" s="330"/>
      <c r="F119" s="329"/>
      <c r="G119" s="238" t="s">
        <v>286</v>
      </c>
      <c r="H119" s="301">
        <v>43327</v>
      </c>
      <c r="I119" s="211"/>
      <c r="J119" s="211" t="s">
        <v>282</v>
      </c>
      <c r="K119" s="331"/>
      <c r="L119" s="314" t="s">
        <v>1009</v>
      </c>
      <c r="M119" s="314"/>
      <c r="N119" s="315"/>
      <c r="O119" s="331"/>
      <c r="P119" s="275"/>
      <c r="Q119" s="275"/>
      <c r="R119" s="275"/>
      <c r="S119" s="275"/>
      <c r="T119" s="275"/>
      <c r="U119" s="275"/>
      <c r="V119" s="275"/>
      <c r="W119" s="275"/>
      <c r="X119" s="275"/>
      <c r="Y119" s="275"/>
      <c r="Z119" s="275"/>
    </row>
    <row r="120" spans="1:26" s="276" customFormat="1" ht="35.25" customHeight="1">
      <c r="A120" s="291"/>
      <c r="B120" s="275"/>
      <c r="C120" s="275"/>
      <c r="D120" s="275"/>
      <c r="E120" s="330"/>
      <c r="F120" s="329"/>
      <c r="G120" s="238" t="s">
        <v>725</v>
      </c>
      <c r="H120" s="301">
        <v>43327</v>
      </c>
      <c r="I120" s="211"/>
      <c r="J120" s="211" t="s">
        <v>726</v>
      </c>
      <c r="K120" s="211" t="s">
        <v>726</v>
      </c>
      <c r="L120" s="314" t="s">
        <v>1009</v>
      </c>
      <c r="M120" s="314"/>
      <c r="N120" s="315"/>
      <c r="O120" s="331"/>
      <c r="P120" s="275"/>
      <c r="Q120" s="275"/>
      <c r="R120" s="275"/>
      <c r="S120" s="275"/>
      <c r="T120" s="275"/>
      <c r="U120" s="275"/>
      <c r="V120" s="275"/>
      <c r="W120" s="275"/>
      <c r="X120" s="275"/>
      <c r="Y120" s="275"/>
      <c r="Z120" s="275"/>
    </row>
    <row r="121" spans="1:26" s="281" customFormat="1" ht="34.200000000000003">
      <c r="A121" s="292"/>
      <c r="B121" s="280"/>
      <c r="C121" s="280"/>
      <c r="D121" s="280"/>
      <c r="E121" s="330">
        <v>7</v>
      </c>
      <c r="F121" s="238" t="s">
        <v>903</v>
      </c>
      <c r="G121" s="238" t="s">
        <v>904</v>
      </c>
      <c r="H121" s="301">
        <v>43327</v>
      </c>
      <c r="I121" s="211"/>
      <c r="J121" s="211" t="s">
        <v>729</v>
      </c>
      <c r="K121" s="211" t="s">
        <v>729</v>
      </c>
      <c r="L121" s="314" t="s">
        <v>1009</v>
      </c>
      <c r="M121" s="314"/>
      <c r="N121" s="315"/>
      <c r="O121" s="331"/>
      <c r="P121" s="280"/>
      <c r="Q121" s="280"/>
      <c r="R121" s="280"/>
      <c r="S121" s="280"/>
      <c r="T121" s="280"/>
      <c r="U121" s="280"/>
      <c r="V121" s="280"/>
      <c r="W121" s="280"/>
      <c r="X121" s="280"/>
      <c r="Y121" s="280"/>
      <c r="Z121" s="280"/>
    </row>
    <row r="122" spans="1:26" s="276" customFormat="1" ht="45.6">
      <c r="A122" s="291"/>
      <c r="B122" s="275"/>
      <c r="C122" s="275"/>
      <c r="D122" s="275"/>
      <c r="E122" s="330"/>
      <c r="F122" s="329"/>
      <c r="G122" s="238" t="s">
        <v>905</v>
      </c>
      <c r="H122" s="301">
        <v>43327</v>
      </c>
      <c r="I122" s="211"/>
      <c r="J122" s="211" t="s">
        <v>731</v>
      </c>
      <c r="K122" s="211" t="s">
        <v>731</v>
      </c>
      <c r="L122" s="314" t="s">
        <v>1009</v>
      </c>
      <c r="M122" s="314"/>
      <c r="N122" s="315"/>
      <c r="O122" s="331"/>
      <c r="P122" s="275"/>
      <c r="Q122" s="275"/>
      <c r="R122" s="275"/>
      <c r="S122" s="275"/>
      <c r="T122" s="275"/>
      <c r="U122" s="275"/>
      <c r="V122" s="275"/>
      <c r="W122" s="275"/>
      <c r="X122" s="275"/>
      <c r="Y122" s="275"/>
      <c r="Z122" s="275"/>
    </row>
    <row r="123" spans="1:26" s="276" customFormat="1" ht="57">
      <c r="A123" s="291"/>
      <c r="B123" s="275"/>
      <c r="C123" s="275"/>
      <c r="D123" s="275"/>
      <c r="E123" s="330"/>
      <c r="F123" s="329"/>
      <c r="G123" s="238" t="s">
        <v>906</v>
      </c>
      <c r="H123" s="301">
        <v>43327</v>
      </c>
      <c r="I123" s="211"/>
      <c r="J123" s="211" t="s">
        <v>733</v>
      </c>
      <c r="K123" s="211" t="s">
        <v>733</v>
      </c>
      <c r="L123" s="314" t="s">
        <v>1009</v>
      </c>
      <c r="M123" s="314"/>
      <c r="N123" s="315"/>
      <c r="O123" s="331"/>
      <c r="P123" s="275"/>
      <c r="Q123" s="275"/>
      <c r="R123" s="275"/>
      <c r="S123" s="275"/>
      <c r="T123" s="275"/>
      <c r="U123" s="275"/>
      <c r="V123" s="275"/>
      <c r="W123" s="275"/>
      <c r="X123" s="275"/>
      <c r="Y123" s="275"/>
      <c r="Z123" s="275"/>
    </row>
    <row r="124" spans="1:26" s="276" customFormat="1" ht="68.400000000000006">
      <c r="A124" s="291"/>
      <c r="B124" s="275"/>
      <c r="C124" s="275"/>
      <c r="D124" s="275"/>
      <c r="E124" s="330"/>
      <c r="F124" s="329"/>
      <c r="G124" s="238" t="s">
        <v>907</v>
      </c>
      <c r="H124" s="301">
        <v>43327</v>
      </c>
      <c r="I124" s="211"/>
      <c r="J124" s="211" t="s">
        <v>733</v>
      </c>
      <c r="K124" s="211" t="s">
        <v>733</v>
      </c>
      <c r="L124" s="314" t="s">
        <v>1009</v>
      </c>
      <c r="M124" s="314"/>
      <c r="N124" s="315"/>
      <c r="O124" s="331"/>
      <c r="P124" s="275"/>
      <c r="Q124" s="275"/>
      <c r="R124" s="275"/>
      <c r="S124" s="275"/>
      <c r="T124" s="275"/>
      <c r="U124" s="275"/>
      <c r="V124" s="275"/>
      <c r="W124" s="275"/>
      <c r="X124" s="275"/>
      <c r="Y124" s="275"/>
      <c r="Z124" s="275"/>
    </row>
    <row r="125" spans="1:26" s="276" customFormat="1" ht="68.400000000000006">
      <c r="A125" s="291"/>
      <c r="B125" s="275"/>
      <c r="C125" s="275"/>
      <c r="D125" s="275"/>
      <c r="E125" s="330"/>
      <c r="F125" s="329"/>
      <c r="G125" s="238" t="s">
        <v>908</v>
      </c>
      <c r="H125" s="301">
        <v>43327</v>
      </c>
      <c r="I125" s="211"/>
      <c r="J125" s="211" t="s">
        <v>733</v>
      </c>
      <c r="K125" s="211" t="s">
        <v>733</v>
      </c>
      <c r="L125" s="314" t="s">
        <v>1009</v>
      </c>
      <c r="M125" s="314"/>
      <c r="N125" s="315"/>
      <c r="O125" s="331"/>
      <c r="P125" s="275"/>
      <c r="Q125" s="275"/>
      <c r="R125" s="275"/>
      <c r="S125" s="275"/>
      <c r="T125" s="275"/>
      <c r="U125" s="275"/>
      <c r="V125" s="275"/>
      <c r="W125" s="275"/>
      <c r="X125" s="275"/>
      <c r="Y125" s="275"/>
      <c r="Z125" s="275"/>
    </row>
    <row r="126" spans="1:26" s="276" customFormat="1" ht="68.400000000000006">
      <c r="A126" s="291"/>
      <c r="B126" s="275"/>
      <c r="C126" s="275"/>
      <c r="D126" s="275"/>
      <c r="E126" s="330"/>
      <c r="F126" s="329"/>
      <c r="G126" s="238" t="s">
        <v>909</v>
      </c>
      <c r="H126" s="301">
        <v>43327</v>
      </c>
      <c r="I126" s="211"/>
      <c r="J126" s="211" t="s">
        <v>733</v>
      </c>
      <c r="K126" s="211" t="s">
        <v>733</v>
      </c>
      <c r="L126" s="314" t="s">
        <v>1009</v>
      </c>
      <c r="M126" s="314"/>
      <c r="N126" s="315"/>
      <c r="O126" s="331"/>
      <c r="P126" s="275"/>
      <c r="Q126" s="275"/>
      <c r="R126" s="275"/>
      <c r="S126" s="275"/>
      <c r="T126" s="275"/>
      <c r="U126" s="275"/>
      <c r="V126" s="275"/>
      <c r="W126" s="275"/>
      <c r="X126" s="275"/>
      <c r="Y126" s="275"/>
      <c r="Z126" s="275"/>
    </row>
    <row r="127" spans="1:26" s="276" customFormat="1" ht="68.400000000000006">
      <c r="A127" s="291"/>
      <c r="B127" s="275"/>
      <c r="C127" s="275"/>
      <c r="D127" s="275"/>
      <c r="E127" s="330"/>
      <c r="F127" s="329"/>
      <c r="G127" s="238" t="s">
        <v>910</v>
      </c>
      <c r="H127" s="301">
        <v>43327</v>
      </c>
      <c r="I127" s="211"/>
      <c r="J127" s="211" t="s">
        <v>733</v>
      </c>
      <c r="K127" s="211" t="s">
        <v>733</v>
      </c>
      <c r="L127" s="314" t="s">
        <v>1009</v>
      </c>
      <c r="M127" s="314"/>
      <c r="N127" s="315"/>
      <c r="O127" s="331"/>
      <c r="P127" s="275"/>
      <c r="Q127" s="275"/>
      <c r="R127" s="275"/>
      <c r="S127" s="275"/>
      <c r="T127" s="275"/>
      <c r="U127" s="275"/>
      <c r="V127" s="275"/>
      <c r="W127" s="275"/>
      <c r="X127" s="275"/>
      <c r="Y127" s="275"/>
      <c r="Z127" s="275"/>
    </row>
    <row r="128" spans="1:26" s="276" customFormat="1" ht="68.400000000000006">
      <c r="A128" s="291"/>
      <c r="B128" s="275"/>
      <c r="C128" s="275"/>
      <c r="D128" s="275"/>
      <c r="E128" s="330"/>
      <c r="F128" s="329"/>
      <c r="G128" s="238" t="s">
        <v>911</v>
      </c>
      <c r="H128" s="301">
        <v>43327</v>
      </c>
      <c r="I128" s="211"/>
      <c r="J128" s="211" t="s">
        <v>878</v>
      </c>
      <c r="K128" s="211" t="s">
        <v>878</v>
      </c>
      <c r="L128" s="314" t="s">
        <v>1009</v>
      </c>
      <c r="M128" s="314"/>
      <c r="N128" s="315"/>
      <c r="O128" s="331"/>
      <c r="P128" s="275"/>
      <c r="Q128" s="275"/>
      <c r="R128" s="275"/>
      <c r="S128" s="275"/>
      <c r="T128" s="275"/>
      <c r="U128" s="275"/>
      <c r="V128" s="275"/>
      <c r="W128" s="275"/>
      <c r="X128" s="275"/>
      <c r="Y128" s="275"/>
      <c r="Z128" s="275"/>
    </row>
    <row r="129" spans="1:26" s="276" customFormat="1" ht="68.400000000000006">
      <c r="A129" s="291"/>
      <c r="B129" s="275"/>
      <c r="C129" s="275"/>
      <c r="D129" s="275"/>
      <c r="E129" s="330"/>
      <c r="F129" s="329"/>
      <c r="G129" s="238" t="s">
        <v>912</v>
      </c>
      <c r="H129" s="301">
        <v>43327</v>
      </c>
      <c r="I129" s="211"/>
      <c r="J129" s="211" t="s">
        <v>880</v>
      </c>
      <c r="K129" s="211" t="s">
        <v>880</v>
      </c>
      <c r="L129" s="314" t="s">
        <v>1009</v>
      </c>
      <c r="M129" s="314"/>
      <c r="N129" s="315"/>
      <c r="O129" s="331"/>
      <c r="P129" s="275"/>
      <c r="Q129" s="275"/>
      <c r="R129" s="275"/>
      <c r="S129" s="275"/>
      <c r="T129" s="275"/>
      <c r="U129" s="275"/>
      <c r="V129" s="275"/>
      <c r="W129" s="275"/>
      <c r="X129" s="275"/>
      <c r="Y129" s="275"/>
      <c r="Z129" s="275"/>
    </row>
    <row r="130" spans="1:26" s="276" customFormat="1" ht="68.400000000000006">
      <c r="A130" s="291"/>
      <c r="B130" s="275"/>
      <c r="C130" s="275"/>
      <c r="D130" s="275"/>
      <c r="E130" s="330"/>
      <c r="F130" s="329"/>
      <c r="G130" s="238" t="s">
        <v>913</v>
      </c>
      <c r="H130" s="301">
        <v>43327</v>
      </c>
      <c r="I130" s="211"/>
      <c r="J130" s="211" t="s">
        <v>880</v>
      </c>
      <c r="K130" s="211" t="s">
        <v>880</v>
      </c>
      <c r="L130" s="314" t="s">
        <v>1009</v>
      </c>
      <c r="M130" s="314"/>
      <c r="N130" s="315"/>
      <c r="O130" s="331"/>
      <c r="P130" s="275"/>
      <c r="Q130" s="275"/>
      <c r="R130" s="275"/>
      <c r="S130" s="275"/>
      <c r="T130" s="275"/>
      <c r="U130" s="275"/>
      <c r="V130" s="275"/>
      <c r="W130" s="275"/>
      <c r="X130" s="275"/>
      <c r="Y130" s="275"/>
      <c r="Z130" s="275"/>
    </row>
    <row r="131" spans="1:26" s="276" customFormat="1" ht="68.400000000000006">
      <c r="A131" s="291"/>
      <c r="B131" s="275"/>
      <c r="C131" s="275"/>
      <c r="D131" s="275"/>
      <c r="E131" s="330"/>
      <c r="F131" s="329"/>
      <c r="G131" s="238" t="s">
        <v>914</v>
      </c>
      <c r="H131" s="301">
        <v>43327</v>
      </c>
      <c r="I131" s="211"/>
      <c r="J131" s="211" t="s">
        <v>883</v>
      </c>
      <c r="K131" s="211" t="s">
        <v>883</v>
      </c>
      <c r="L131" s="314" t="s">
        <v>1009</v>
      </c>
      <c r="M131" s="314"/>
      <c r="N131" s="315"/>
      <c r="O131" s="331"/>
      <c r="P131" s="275"/>
      <c r="Q131" s="275"/>
      <c r="R131" s="275"/>
      <c r="S131" s="275"/>
      <c r="T131" s="275"/>
      <c r="U131" s="275"/>
      <c r="V131" s="275"/>
      <c r="W131" s="275"/>
      <c r="X131" s="275"/>
      <c r="Y131" s="275"/>
      <c r="Z131" s="275"/>
    </row>
    <row r="132" spans="1:26" s="281" customFormat="1" ht="68.400000000000006">
      <c r="A132" s="292"/>
      <c r="B132" s="280"/>
      <c r="C132" s="280"/>
      <c r="D132" s="280"/>
      <c r="E132" s="330"/>
      <c r="F132" s="329"/>
      <c r="G132" s="238" t="s">
        <v>915</v>
      </c>
      <c r="H132" s="301">
        <v>43327</v>
      </c>
      <c r="I132" s="211"/>
      <c r="J132" s="211" t="s">
        <v>880</v>
      </c>
      <c r="K132" s="211" t="s">
        <v>880</v>
      </c>
      <c r="L132" s="314" t="s">
        <v>1009</v>
      </c>
      <c r="M132" s="314"/>
      <c r="N132" s="315"/>
      <c r="O132" s="331"/>
      <c r="P132" s="280"/>
      <c r="Q132" s="280"/>
      <c r="R132" s="280"/>
      <c r="S132" s="280"/>
      <c r="T132" s="280"/>
      <c r="U132" s="280"/>
      <c r="V132" s="280"/>
      <c r="W132" s="280"/>
      <c r="X132" s="280"/>
      <c r="Y132" s="280"/>
      <c r="Z132" s="280"/>
    </row>
    <row r="133" spans="1:26" s="276" customFormat="1" ht="68.400000000000006">
      <c r="A133" s="291"/>
      <c r="B133" s="275"/>
      <c r="C133" s="275"/>
      <c r="D133" s="275"/>
      <c r="E133" s="330"/>
      <c r="F133" s="329"/>
      <c r="G133" s="238" t="s">
        <v>916</v>
      </c>
      <c r="H133" s="301">
        <v>43327</v>
      </c>
      <c r="I133" s="211"/>
      <c r="J133" s="211" t="s">
        <v>880</v>
      </c>
      <c r="K133" s="211" t="s">
        <v>880</v>
      </c>
      <c r="L133" s="314" t="s">
        <v>1009</v>
      </c>
      <c r="M133" s="314"/>
      <c r="N133" s="315"/>
      <c r="O133" s="331"/>
      <c r="P133" s="275"/>
      <c r="Q133" s="275"/>
      <c r="R133" s="275"/>
      <c r="S133" s="275"/>
      <c r="T133" s="275"/>
      <c r="U133" s="275"/>
      <c r="V133" s="275"/>
      <c r="W133" s="275"/>
      <c r="X133" s="275"/>
      <c r="Y133" s="275"/>
      <c r="Z133" s="275"/>
    </row>
    <row r="134" spans="1:26" s="276" customFormat="1" ht="68.400000000000006">
      <c r="A134" s="291"/>
      <c r="B134" s="275"/>
      <c r="C134" s="275"/>
      <c r="D134" s="275"/>
      <c r="E134" s="330"/>
      <c r="F134" s="329"/>
      <c r="G134" s="238" t="s">
        <v>917</v>
      </c>
      <c r="H134" s="301">
        <v>43327</v>
      </c>
      <c r="I134" s="211"/>
      <c r="J134" s="211" t="s">
        <v>880</v>
      </c>
      <c r="K134" s="211" t="s">
        <v>880</v>
      </c>
      <c r="L134" s="314" t="s">
        <v>1009</v>
      </c>
      <c r="M134" s="314"/>
      <c r="N134" s="315"/>
      <c r="O134" s="331"/>
      <c r="P134" s="275"/>
      <c r="Q134" s="275"/>
      <c r="R134" s="275"/>
      <c r="S134" s="275"/>
      <c r="T134" s="275"/>
      <c r="U134" s="275"/>
      <c r="V134" s="275"/>
      <c r="W134" s="275"/>
      <c r="X134" s="275"/>
      <c r="Y134" s="275"/>
      <c r="Z134" s="275"/>
    </row>
    <row r="135" spans="1:26" s="276" customFormat="1" ht="68.400000000000006">
      <c r="A135" s="291"/>
      <c r="B135" s="275"/>
      <c r="C135" s="275"/>
      <c r="D135" s="275"/>
      <c r="E135" s="330"/>
      <c r="F135" s="329"/>
      <c r="G135" s="238" t="s">
        <v>918</v>
      </c>
      <c r="H135" s="301">
        <v>43327</v>
      </c>
      <c r="I135" s="211"/>
      <c r="J135" s="211" t="s">
        <v>880</v>
      </c>
      <c r="K135" s="211" t="s">
        <v>880</v>
      </c>
      <c r="L135" s="314" t="s">
        <v>1009</v>
      </c>
      <c r="M135" s="314"/>
      <c r="N135" s="315"/>
      <c r="O135" s="331"/>
      <c r="P135" s="275"/>
      <c r="Q135" s="275"/>
      <c r="R135" s="275"/>
      <c r="S135" s="275"/>
      <c r="T135" s="275"/>
      <c r="U135" s="275"/>
      <c r="V135" s="275"/>
      <c r="W135" s="275"/>
      <c r="X135" s="275"/>
      <c r="Y135" s="275"/>
      <c r="Z135" s="275"/>
    </row>
    <row r="136" spans="1:26" s="276" customFormat="1" ht="68.400000000000006">
      <c r="A136" s="291"/>
      <c r="B136" s="275"/>
      <c r="C136" s="275"/>
      <c r="D136" s="275"/>
      <c r="E136" s="330"/>
      <c r="F136" s="329"/>
      <c r="G136" s="238" t="s">
        <v>919</v>
      </c>
      <c r="H136" s="301">
        <v>43327</v>
      </c>
      <c r="I136" s="211"/>
      <c r="J136" s="211" t="s">
        <v>890</v>
      </c>
      <c r="K136" s="211" t="s">
        <v>890</v>
      </c>
      <c r="L136" s="314" t="s">
        <v>1009</v>
      </c>
      <c r="M136" s="314"/>
      <c r="N136" s="315"/>
      <c r="O136" s="331"/>
      <c r="P136" s="275"/>
      <c r="Q136" s="275"/>
      <c r="R136" s="275"/>
      <c r="S136" s="275"/>
      <c r="T136" s="275"/>
      <c r="U136" s="275"/>
      <c r="V136" s="275"/>
      <c r="W136" s="275"/>
      <c r="X136" s="275"/>
      <c r="Y136" s="275"/>
      <c r="Z136" s="275"/>
    </row>
    <row r="137" spans="1:26" s="276" customFormat="1" ht="68.400000000000006">
      <c r="A137" s="291"/>
      <c r="B137" s="275"/>
      <c r="C137" s="275"/>
      <c r="D137" s="275"/>
      <c r="E137" s="330"/>
      <c r="F137" s="329"/>
      <c r="G137" s="238" t="s">
        <v>920</v>
      </c>
      <c r="H137" s="301">
        <v>43327</v>
      </c>
      <c r="I137" s="211"/>
      <c r="J137" s="211" t="s">
        <v>892</v>
      </c>
      <c r="K137" s="211" t="s">
        <v>892</v>
      </c>
      <c r="L137" s="314" t="s">
        <v>1009</v>
      </c>
      <c r="M137" s="314"/>
      <c r="N137" s="315"/>
      <c r="O137" s="331"/>
      <c r="P137" s="275"/>
      <c r="Q137" s="275"/>
      <c r="R137" s="275"/>
      <c r="S137" s="275"/>
      <c r="T137" s="275"/>
      <c r="U137" s="275"/>
      <c r="V137" s="275"/>
      <c r="W137" s="275"/>
      <c r="X137" s="275"/>
      <c r="Y137" s="275"/>
      <c r="Z137" s="275"/>
    </row>
    <row r="138" spans="1:26" s="276" customFormat="1" ht="68.400000000000006">
      <c r="A138" s="291"/>
      <c r="B138" s="275"/>
      <c r="C138" s="275"/>
      <c r="D138" s="275"/>
      <c r="E138" s="330"/>
      <c r="F138" s="329"/>
      <c r="G138" s="238" t="s">
        <v>921</v>
      </c>
      <c r="H138" s="301">
        <v>43327</v>
      </c>
      <c r="I138" s="211"/>
      <c r="J138" s="211" t="s">
        <v>892</v>
      </c>
      <c r="K138" s="211" t="s">
        <v>892</v>
      </c>
      <c r="L138" s="314" t="s">
        <v>1009</v>
      </c>
      <c r="M138" s="314"/>
      <c r="N138" s="315"/>
      <c r="O138" s="331"/>
      <c r="P138" s="275"/>
      <c r="Q138" s="275"/>
      <c r="R138" s="275"/>
      <c r="S138" s="275"/>
      <c r="T138" s="275"/>
      <c r="U138" s="275"/>
      <c r="V138" s="275"/>
      <c r="W138" s="275"/>
      <c r="X138" s="275"/>
      <c r="Y138" s="275"/>
      <c r="Z138" s="275"/>
    </row>
    <row r="139" spans="1:26" s="276" customFormat="1" ht="68.400000000000006">
      <c r="A139" s="291"/>
      <c r="B139" s="275"/>
      <c r="C139" s="275"/>
      <c r="D139" s="275"/>
      <c r="E139" s="330"/>
      <c r="F139" s="329"/>
      <c r="G139" s="238" t="s">
        <v>922</v>
      </c>
      <c r="H139" s="301">
        <v>43327</v>
      </c>
      <c r="I139" s="211"/>
      <c r="J139" s="211" t="s">
        <v>895</v>
      </c>
      <c r="K139" s="211" t="s">
        <v>895</v>
      </c>
      <c r="L139" s="314" t="s">
        <v>1009</v>
      </c>
      <c r="M139" s="314"/>
      <c r="N139" s="315"/>
      <c r="O139" s="331"/>
      <c r="P139" s="275"/>
      <c r="Q139" s="275"/>
      <c r="R139" s="275"/>
      <c r="S139" s="275"/>
      <c r="T139" s="275"/>
      <c r="U139" s="275"/>
      <c r="V139" s="275"/>
      <c r="W139" s="275"/>
      <c r="X139" s="275"/>
      <c r="Y139" s="275"/>
      <c r="Z139" s="275"/>
    </row>
    <row r="140" spans="1:26" s="276" customFormat="1" ht="79.8">
      <c r="A140" s="291"/>
      <c r="B140" s="275"/>
      <c r="C140" s="275"/>
      <c r="D140" s="275"/>
      <c r="E140" s="330"/>
      <c r="F140" s="329"/>
      <c r="G140" s="238" t="s">
        <v>923</v>
      </c>
      <c r="H140" s="301">
        <v>43327</v>
      </c>
      <c r="I140" s="211"/>
      <c r="J140" s="211" t="s">
        <v>892</v>
      </c>
      <c r="K140" s="211" t="s">
        <v>892</v>
      </c>
      <c r="L140" s="314" t="s">
        <v>1009</v>
      </c>
      <c r="M140" s="314"/>
      <c r="N140" s="315"/>
      <c r="O140" s="331"/>
      <c r="P140" s="275"/>
      <c r="Q140" s="275"/>
      <c r="R140" s="275"/>
      <c r="S140" s="275"/>
      <c r="T140" s="275"/>
      <c r="U140" s="275"/>
      <c r="V140" s="275"/>
      <c r="W140" s="275"/>
      <c r="X140" s="275"/>
      <c r="Y140" s="275"/>
      <c r="Z140" s="275"/>
    </row>
    <row r="141" spans="1:26" s="276" customFormat="1" ht="68.400000000000006">
      <c r="A141" s="291"/>
      <c r="B141" s="275"/>
      <c r="C141" s="275"/>
      <c r="D141" s="275"/>
      <c r="E141" s="330"/>
      <c r="F141" s="329"/>
      <c r="G141" s="238" t="s">
        <v>924</v>
      </c>
      <c r="H141" s="301">
        <v>43327</v>
      </c>
      <c r="I141" s="211"/>
      <c r="J141" s="211" t="s">
        <v>892</v>
      </c>
      <c r="K141" s="211" t="s">
        <v>892</v>
      </c>
      <c r="L141" s="314" t="s">
        <v>1009</v>
      </c>
      <c r="M141" s="314"/>
      <c r="N141" s="315"/>
      <c r="O141" s="331"/>
      <c r="P141" s="275"/>
      <c r="Q141" s="275"/>
      <c r="R141" s="275"/>
      <c r="S141" s="275"/>
      <c r="T141" s="275"/>
      <c r="U141" s="275"/>
      <c r="V141" s="275"/>
      <c r="W141" s="275"/>
      <c r="X141" s="275"/>
      <c r="Y141" s="275"/>
      <c r="Z141" s="275"/>
    </row>
    <row r="142" spans="1:26" s="276" customFormat="1" ht="68.400000000000006">
      <c r="A142" s="291"/>
      <c r="B142" s="275"/>
      <c r="C142" s="275"/>
      <c r="D142" s="275"/>
      <c r="E142" s="330"/>
      <c r="F142" s="329"/>
      <c r="G142" s="238" t="s">
        <v>925</v>
      </c>
      <c r="H142" s="301">
        <v>43327</v>
      </c>
      <c r="I142" s="211"/>
      <c r="J142" s="211" t="s">
        <v>892</v>
      </c>
      <c r="K142" s="211" t="s">
        <v>892</v>
      </c>
      <c r="L142" s="314" t="s">
        <v>1009</v>
      </c>
      <c r="M142" s="314"/>
      <c r="N142" s="315"/>
      <c r="O142" s="331"/>
      <c r="P142" s="275"/>
      <c r="Q142" s="275"/>
      <c r="R142" s="275"/>
      <c r="S142" s="275"/>
      <c r="T142" s="275"/>
      <c r="U142" s="275"/>
      <c r="V142" s="275"/>
      <c r="W142" s="275"/>
      <c r="X142" s="275"/>
      <c r="Y142" s="275"/>
      <c r="Z142" s="275"/>
    </row>
    <row r="143" spans="1:26" s="276" customFormat="1" ht="68.400000000000006">
      <c r="A143" s="291"/>
      <c r="B143" s="275"/>
      <c r="C143" s="275"/>
      <c r="D143" s="275"/>
      <c r="E143" s="330"/>
      <c r="F143" s="329"/>
      <c r="G143" s="238" t="s">
        <v>926</v>
      </c>
      <c r="H143" s="301">
        <v>43327</v>
      </c>
      <c r="I143" s="211"/>
      <c r="J143" s="211" t="s">
        <v>892</v>
      </c>
      <c r="K143" s="211" t="s">
        <v>892</v>
      </c>
      <c r="L143" s="314" t="s">
        <v>1009</v>
      </c>
      <c r="M143" s="314"/>
      <c r="N143" s="315"/>
      <c r="O143" s="331"/>
      <c r="P143" s="275"/>
      <c r="Q143" s="275"/>
      <c r="R143" s="275"/>
      <c r="S143" s="275"/>
      <c r="T143" s="275"/>
      <c r="U143" s="275"/>
      <c r="V143" s="275"/>
      <c r="W143" s="275"/>
      <c r="X143" s="275"/>
      <c r="Y143" s="275"/>
      <c r="Z143" s="275"/>
    </row>
    <row r="144" spans="1:26" s="276" customFormat="1" ht="68.400000000000006">
      <c r="A144" s="291"/>
      <c r="B144" s="275"/>
      <c r="C144" s="275"/>
      <c r="D144" s="275"/>
      <c r="E144" s="330"/>
      <c r="F144" s="329"/>
      <c r="G144" s="238" t="s">
        <v>927</v>
      </c>
      <c r="H144" s="301">
        <v>43327</v>
      </c>
      <c r="I144" s="211"/>
      <c r="J144" s="211" t="s">
        <v>333</v>
      </c>
      <c r="K144" s="211" t="s">
        <v>333</v>
      </c>
      <c r="L144" s="314" t="s">
        <v>1009</v>
      </c>
      <c r="M144" s="314"/>
      <c r="N144" s="315"/>
      <c r="O144" s="331"/>
      <c r="P144" s="275"/>
      <c r="Q144" s="275"/>
      <c r="R144" s="275"/>
      <c r="S144" s="275"/>
      <c r="T144" s="275"/>
      <c r="U144" s="275"/>
      <c r="V144" s="275"/>
      <c r="W144" s="275"/>
      <c r="X144" s="275"/>
      <c r="Y144" s="275"/>
      <c r="Z144" s="275"/>
    </row>
    <row r="145" spans="1:26" s="276" customFormat="1">
      <c r="A145" s="291"/>
      <c r="B145" s="275"/>
      <c r="C145" s="275"/>
      <c r="D145" s="275"/>
      <c r="E145" s="330"/>
      <c r="F145" s="329"/>
      <c r="G145" s="238" t="s">
        <v>286</v>
      </c>
      <c r="H145" s="301">
        <v>43327</v>
      </c>
      <c r="I145" s="211"/>
      <c r="J145" s="211" t="s">
        <v>282</v>
      </c>
      <c r="K145" s="331"/>
      <c r="L145" s="314" t="s">
        <v>1009</v>
      </c>
      <c r="M145" s="314"/>
      <c r="N145" s="315"/>
      <c r="O145" s="331"/>
      <c r="P145" s="275"/>
      <c r="Q145" s="275"/>
      <c r="R145" s="275"/>
      <c r="S145" s="275"/>
      <c r="T145" s="275"/>
      <c r="U145" s="275"/>
      <c r="V145" s="275"/>
      <c r="W145" s="275"/>
      <c r="X145" s="275"/>
      <c r="Y145" s="275"/>
      <c r="Z145" s="275"/>
    </row>
    <row r="146" spans="1:26" s="276" customFormat="1" ht="79.8">
      <c r="A146" s="291"/>
      <c r="B146" s="275"/>
      <c r="C146" s="275"/>
      <c r="D146" s="275"/>
      <c r="E146" s="330"/>
      <c r="F146" s="329"/>
      <c r="G146" s="238" t="s">
        <v>928</v>
      </c>
      <c r="H146" s="301">
        <v>43327</v>
      </c>
      <c r="I146" s="211"/>
      <c r="J146" s="211" t="s">
        <v>288</v>
      </c>
      <c r="K146" s="211" t="s">
        <v>288</v>
      </c>
      <c r="L146" s="314" t="s">
        <v>1009</v>
      </c>
      <c r="M146" s="314"/>
      <c r="N146" s="315"/>
      <c r="O146" s="331"/>
      <c r="P146" s="275"/>
      <c r="Q146" s="275"/>
      <c r="R146" s="275"/>
      <c r="S146" s="275"/>
      <c r="T146" s="275"/>
      <c r="U146" s="275"/>
      <c r="V146" s="275"/>
      <c r="W146" s="275"/>
      <c r="X146" s="275"/>
      <c r="Y146" s="275"/>
      <c r="Z146" s="275"/>
    </row>
    <row r="147" spans="1:26" s="276" customFormat="1" ht="34.200000000000003">
      <c r="A147" s="291"/>
      <c r="B147" s="275"/>
      <c r="C147" s="275"/>
      <c r="D147" s="275"/>
      <c r="E147" s="330"/>
      <c r="F147" s="329"/>
      <c r="G147" s="238" t="s">
        <v>289</v>
      </c>
      <c r="H147" s="301">
        <v>43327</v>
      </c>
      <c r="I147" s="211"/>
      <c r="J147" s="211" t="s">
        <v>282</v>
      </c>
      <c r="K147" s="331"/>
      <c r="L147" s="314" t="s">
        <v>1009</v>
      </c>
      <c r="M147" s="314"/>
      <c r="N147" s="315"/>
      <c r="O147" s="331"/>
      <c r="P147" s="275"/>
      <c r="Q147" s="275"/>
      <c r="R147" s="275"/>
      <c r="S147" s="275"/>
      <c r="T147" s="275"/>
      <c r="U147" s="275"/>
      <c r="V147" s="275"/>
      <c r="W147" s="275"/>
      <c r="X147" s="275"/>
      <c r="Y147" s="275"/>
      <c r="Z147" s="275"/>
    </row>
    <row r="148" spans="1:26" s="276" customFormat="1" ht="22.8">
      <c r="A148" s="291"/>
      <c r="B148" s="275"/>
      <c r="C148" s="275"/>
      <c r="D148" s="275"/>
      <c r="E148" s="330"/>
      <c r="F148" s="329"/>
      <c r="G148" s="238" t="s">
        <v>290</v>
      </c>
      <c r="H148" s="301">
        <v>43327</v>
      </c>
      <c r="I148" s="211"/>
      <c r="J148" s="211" t="s">
        <v>1018</v>
      </c>
      <c r="K148" s="331"/>
      <c r="L148" s="314" t="s">
        <v>1009</v>
      </c>
      <c r="M148" s="314"/>
      <c r="N148" s="315"/>
      <c r="O148" s="331"/>
      <c r="P148" s="275"/>
      <c r="Q148" s="275"/>
      <c r="R148" s="275"/>
      <c r="S148" s="275"/>
      <c r="T148" s="275"/>
      <c r="U148" s="275"/>
      <c r="V148" s="275"/>
      <c r="W148" s="275"/>
      <c r="X148" s="275"/>
      <c r="Y148" s="275"/>
      <c r="Z148" s="275"/>
    </row>
    <row r="149" spans="1:26" s="276" customFormat="1" ht="91.2">
      <c r="A149" s="291"/>
      <c r="B149" s="275"/>
      <c r="C149" s="275"/>
      <c r="D149" s="275"/>
      <c r="E149" s="330"/>
      <c r="F149" s="329"/>
      <c r="G149" s="238" t="s">
        <v>929</v>
      </c>
      <c r="H149" s="301">
        <v>43327</v>
      </c>
      <c r="I149" s="211"/>
      <c r="J149" s="211" t="s">
        <v>729</v>
      </c>
      <c r="K149" s="211" t="s">
        <v>729</v>
      </c>
      <c r="L149" s="314" t="s">
        <v>1009</v>
      </c>
      <c r="M149" s="314"/>
      <c r="N149" s="315"/>
      <c r="O149" s="331"/>
      <c r="P149" s="275"/>
      <c r="Q149" s="275"/>
      <c r="R149" s="275"/>
      <c r="S149" s="275"/>
      <c r="T149" s="275"/>
      <c r="U149" s="275"/>
      <c r="V149" s="275"/>
      <c r="W149" s="275"/>
      <c r="X149" s="275"/>
      <c r="Y149" s="275"/>
      <c r="Z149" s="275"/>
    </row>
    <row r="150" spans="1:26" s="276" customFormat="1" ht="79.8">
      <c r="A150" s="291"/>
      <c r="B150" s="275"/>
      <c r="C150" s="275"/>
      <c r="D150" s="275"/>
      <c r="E150" s="330"/>
      <c r="F150" s="329"/>
      <c r="G150" s="238" t="s">
        <v>930</v>
      </c>
      <c r="H150" s="301">
        <v>43327</v>
      </c>
      <c r="I150" s="211"/>
      <c r="J150" s="211" t="s">
        <v>726</v>
      </c>
      <c r="K150" s="211" t="s">
        <v>726</v>
      </c>
      <c r="L150" s="314" t="s">
        <v>1009</v>
      </c>
      <c r="M150" s="314"/>
      <c r="N150" s="315"/>
      <c r="O150" s="331"/>
      <c r="P150" s="275"/>
      <c r="Q150" s="275"/>
      <c r="R150" s="275"/>
      <c r="S150" s="275"/>
      <c r="T150" s="275"/>
      <c r="U150" s="275"/>
      <c r="V150" s="275"/>
      <c r="W150" s="275"/>
      <c r="X150" s="275"/>
      <c r="Y150" s="275"/>
      <c r="Z150" s="275"/>
    </row>
    <row r="151" spans="1:26" s="276" customFormat="1" ht="34.200000000000003">
      <c r="A151" s="291"/>
      <c r="B151" s="275"/>
      <c r="C151" s="275"/>
      <c r="D151" s="275"/>
      <c r="E151" s="330">
        <v>8</v>
      </c>
      <c r="F151" s="321" t="s">
        <v>931</v>
      </c>
      <c r="G151" s="238" t="s">
        <v>904</v>
      </c>
      <c r="H151" s="301">
        <v>43327</v>
      </c>
      <c r="I151" s="238"/>
      <c r="J151" s="211" t="s">
        <v>729</v>
      </c>
      <c r="K151" s="211" t="s">
        <v>729</v>
      </c>
      <c r="L151" s="314" t="s">
        <v>1009</v>
      </c>
      <c r="M151" s="314"/>
      <c r="N151" s="315"/>
      <c r="O151" s="331"/>
      <c r="P151" s="275"/>
      <c r="Q151" s="275"/>
      <c r="R151" s="275"/>
      <c r="S151" s="275"/>
      <c r="T151" s="275"/>
      <c r="U151" s="275"/>
      <c r="V151" s="275"/>
      <c r="W151" s="275"/>
      <c r="X151" s="275"/>
      <c r="Y151" s="275"/>
      <c r="Z151" s="275"/>
    </row>
    <row r="152" spans="1:26" s="276" customFormat="1" ht="57">
      <c r="A152" s="291"/>
      <c r="B152" s="275"/>
      <c r="C152" s="275"/>
      <c r="D152" s="275"/>
      <c r="E152" s="330"/>
      <c r="F152" s="325"/>
      <c r="G152" s="238" t="s">
        <v>932</v>
      </c>
      <c r="H152" s="301">
        <v>43327</v>
      </c>
      <c r="I152" s="211"/>
      <c r="J152" s="211" t="s">
        <v>412</v>
      </c>
      <c r="K152" s="211" t="s">
        <v>412</v>
      </c>
      <c r="L152" s="314" t="s">
        <v>1009</v>
      </c>
      <c r="M152" s="314"/>
      <c r="N152" s="315"/>
      <c r="O152" s="331"/>
      <c r="P152" s="275"/>
      <c r="Q152" s="275"/>
      <c r="R152" s="275"/>
      <c r="S152" s="275"/>
      <c r="T152" s="275"/>
      <c r="U152" s="275"/>
      <c r="V152" s="275"/>
      <c r="W152" s="275"/>
      <c r="X152" s="275"/>
      <c r="Y152" s="275"/>
      <c r="Z152" s="275"/>
    </row>
    <row r="153" spans="1:26" s="276" customFormat="1" ht="57">
      <c r="A153" s="291"/>
      <c r="B153" s="275"/>
      <c r="C153" s="275"/>
      <c r="D153" s="275"/>
      <c r="E153" s="330"/>
      <c r="F153" s="325"/>
      <c r="G153" s="238" t="s">
        <v>933</v>
      </c>
      <c r="H153" s="301">
        <v>43327</v>
      </c>
      <c r="I153" s="211"/>
      <c r="J153" s="211" t="s">
        <v>412</v>
      </c>
      <c r="K153" s="211" t="s">
        <v>764</v>
      </c>
      <c r="L153" s="314" t="s">
        <v>1009</v>
      </c>
      <c r="M153" s="314"/>
      <c r="N153" s="315"/>
      <c r="O153" s="331"/>
      <c r="P153" s="275"/>
      <c r="Q153" s="275"/>
      <c r="R153" s="275"/>
      <c r="S153" s="275"/>
      <c r="T153" s="275"/>
      <c r="U153" s="275"/>
      <c r="V153" s="275"/>
      <c r="W153" s="275"/>
      <c r="X153" s="275"/>
      <c r="Y153" s="275"/>
      <c r="Z153" s="275"/>
    </row>
    <row r="154" spans="1:26" s="276" customFormat="1" ht="57">
      <c r="A154" s="291"/>
      <c r="B154" s="275"/>
      <c r="C154" s="275"/>
      <c r="D154" s="275"/>
      <c r="E154" s="330"/>
      <c r="F154" s="325"/>
      <c r="G154" s="238" t="s">
        <v>934</v>
      </c>
      <c r="H154" s="301">
        <v>43327</v>
      </c>
      <c r="I154" s="211"/>
      <c r="J154" s="211" t="s">
        <v>412</v>
      </c>
      <c r="K154" s="211" t="s">
        <v>764</v>
      </c>
      <c r="L154" s="314" t="s">
        <v>1009</v>
      </c>
      <c r="M154" s="314"/>
      <c r="N154" s="315"/>
      <c r="O154" s="331"/>
      <c r="P154" s="275"/>
      <c r="Q154" s="275"/>
      <c r="R154" s="275"/>
      <c r="S154" s="275"/>
      <c r="T154" s="275"/>
      <c r="U154" s="275"/>
      <c r="V154" s="275"/>
      <c r="W154" s="275"/>
      <c r="X154" s="275"/>
      <c r="Y154" s="275"/>
      <c r="Z154" s="275"/>
    </row>
    <row r="155" spans="1:26" s="276" customFormat="1" ht="57">
      <c r="A155" s="291"/>
      <c r="B155" s="275"/>
      <c r="C155" s="275"/>
      <c r="D155" s="275"/>
      <c r="E155" s="330"/>
      <c r="F155" s="325"/>
      <c r="G155" s="238" t="s">
        <v>935</v>
      </c>
      <c r="H155" s="301">
        <v>43327</v>
      </c>
      <c r="I155" s="211"/>
      <c r="J155" s="211" t="s">
        <v>421</v>
      </c>
      <c r="K155" s="211" t="s">
        <v>421</v>
      </c>
      <c r="L155" s="314" t="s">
        <v>1009</v>
      </c>
      <c r="M155" s="314"/>
      <c r="N155" s="315"/>
      <c r="O155" s="331"/>
      <c r="P155" s="275"/>
      <c r="Q155" s="275"/>
      <c r="R155" s="275"/>
      <c r="S155" s="275"/>
      <c r="T155" s="275"/>
      <c r="U155" s="275"/>
      <c r="V155" s="275"/>
      <c r="W155" s="275"/>
      <c r="X155" s="275"/>
      <c r="Y155" s="275"/>
      <c r="Z155" s="275"/>
    </row>
    <row r="156" spans="1:26" s="276" customFormat="1">
      <c r="A156" s="291"/>
      <c r="B156" s="275"/>
      <c r="C156" s="275"/>
      <c r="D156" s="275"/>
      <c r="E156" s="330"/>
      <c r="F156" s="325"/>
      <c r="G156" s="238" t="s">
        <v>286</v>
      </c>
      <c r="H156" s="301">
        <v>43327</v>
      </c>
      <c r="I156" s="211"/>
      <c r="J156" s="211" t="s">
        <v>282</v>
      </c>
      <c r="K156" s="331"/>
      <c r="L156" s="314" t="s">
        <v>1009</v>
      </c>
      <c r="M156" s="314"/>
      <c r="N156" s="315"/>
      <c r="O156" s="331"/>
      <c r="P156" s="275"/>
      <c r="Q156" s="275"/>
      <c r="R156" s="275"/>
      <c r="S156" s="275"/>
      <c r="T156" s="275"/>
      <c r="U156" s="275"/>
      <c r="V156" s="275"/>
      <c r="W156" s="275"/>
      <c r="X156" s="275"/>
      <c r="Y156" s="275"/>
      <c r="Z156" s="275"/>
    </row>
    <row r="157" spans="1:26" s="276" customFormat="1" ht="57">
      <c r="A157" s="291"/>
      <c r="B157" s="275"/>
      <c r="C157" s="275"/>
      <c r="D157" s="275"/>
      <c r="E157" s="330"/>
      <c r="F157" s="325"/>
      <c r="G157" s="238" t="s">
        <v>936</v>
      </c>
      <c r="H157" s="301">
        <v>43327</v>
      </c>
      <c r="I157" s="211"/>
      <c r="J157" s="211" t="s">
        <v>412</v>
      </c>
      <c r="K157" s="211" t="s">
        <v>764</v>
      </c>
      <c r="L157" s="314" t="s">
        <v>1009</v>
      </c>
      <c r="M157" s="314"/>
      <c r="N157" s="315"/>
      <c r="O157" s="331"/>
      <c r="P157" s="275"/>
      <c r="Q157" s="275"/>
      <c r="R157" s="275"/>
      <c r="S157" s="275"/>
      <c r="T157" s="275"/>
      <c r="U157" s="275"/>
      <c r="V157" s="275"/>
      <c r="W157" s="275"/>
      <c r="X157" s="275"/>
      <c r="Y157" s="275"/>
      <c r="Z157" s="275"/>
    </row>
    <row r="158" spans="1:26" s="276" customFormat="1" ht="57">
      <c r="A158" s="291"/>
      <c r="B158" s="275"/>
      <c r="C158" s="275"/>
      <c r="D158" s="275"/>
      <c r="E158" s="330"/>
      <c r="F158" s="325"/>
      <c r="G158" s="238" t="s">
        <v>937</v>
      </c>
      <c r="H158" s="301">
        <v>43327</v>
      </c>
      <c r="I158" s="211"/>
      <c r="J158" s="211" t="s">
        <v>421</v>
      </c>
      <c r="K158" s="211" t="s">
        <v>421</v>
      </c>
      <c r="L158" s="314" t="s">
        <v>1009</v>
      </c>
      <c r="M158" s="314"/>
      <c r="N158" s="315"/>
      <c r="O158" s="331"/>
      <c r="P158" s="275"/>
      <c r="Q158" s="275"/>
      <c r="R158" s="275"/>
      <c r="S158" s="275"/>
      <c r="T158" s="275"/>
      <c r="U158" s="275"/>
      <c r="V158" s="275"/>
      <c r="W158" s="275"/>
      <c r="X158" s="275"/>
      <c r="Y158" s="275"/>
      <c r="Z158" s="275"/>
    </row>
    <row r="159" spans="1:26" s="276" customFormat="1">
      <c r="A159" s="291"/>
      <c r="B159" s="275"/>
      <c r="C159" s="275"/>
      <c r="D159" s="275"/>
      <c r="E159" s="330"/>
      <c r="F159" s="325"/>
      <c r="G159" s="238" t="s">
        <v>286</v>
      </c>
      <c r="H159" s="301">
        <v>43327</v>
      </c>
      <c r="I159" s="211"/>
      <c r="J159" s="211" t="s">
        <v>282</v>
      </c>
      <c r="K159" s="331"/>
      <c r="L159" s="314" t="s">
        <v>1009</v>
      </c>
      <c r="M159" s="314"/>
      <c r="N159" s="315"/>
      <c r="O159" s="331"/>
      <c r="P159" s="275"/>
      <c r="Q159" s="275"/>
      <c r="R159" s="275"/>
      <c r="S159" s="275"/>
      <c r="T159" s="275"/>
      <c r="U159" s="275"/>
      <c r="V159" s="275"/>
      <c r="W159" s="275"/>
      <c r="X159" s="275"/>
      <c r="Y159" s="275"/>
      <c r="Z159" s="275"/>
    </row>
    <row r="160" spans="1:26" s="276" customFormat="1" ht="57">
      <c r="A160" s="291"/>
      <c r="B160" s="275"/>
      <c r="C160" s="275"/>
      <c r="D160" s="275"/>
      <c r="E160" s="330"/>
      <c r="F160" s="325"/>
      <c r="G160" s="238" t="s">
        <v>938</v>
      </c>
      <c r="H160" s="301">
        <v>43327</v>
      </c>
      <c r="I160" s="211"/>
      <c r="J160" s="211" t="s">
        <v>412</v>
      </c>
      <c r="K160" s="211" t="s">
        <v>764</v>
      </c>
      <c r="L160" s="314" t="s">
        <v>1009</v>
      </c>
      <c r="M160" s="314"/>
      <c r="N160" s="315"/>
      <c r="O160" s="331"/>
      <c r="P160" s="275"/>
      <c r="Q160" s="275"/>
      <c r="R160" s="275"/>
      <c r="S160" s="275"/>
      <c r="T160" s="275"/>
      <c r="U160" s="275"/>
      <c r="V160" s="275"/>
      <c r="W160" s="275"/>
      <c r="X160" s="275"/>
      <c r="Y160" s="275"/>
      <c r="Z160" s="275"/>
    </row>
    <row r="161" spans="1:26" s="276" customFormat="1">
      <c r="A161" s="291"/>
      <c r="B161" s="275"/>
      <c r="C161" s="275"/>
      <c r="D161" s="275"/>
      <c r="E161" s="330"/>
      <c r="F161" s="325"/>
      <c r="G161" s="238" t="s">
        <v>286</v>
      </c>
      <c r="H161" s="301">
        <v>43327</v>
      </c>
      <c r="I161" s="211"/>
      <c r="J161" s="211" t="s">
        <v>282</v>
      </c>
      <c r="K161" s="331"/>
      <c r="L161" s="314" t="s">
        <v>1009</v>
      </c>
      <c r="M161" s="314"/>
      <c r="N161" s="315"/>
      <c r="O161" s="331"/>
      <c r="P161" s="275"/>
      <c r="Q161" s="275"/>
      <c r="R161" s="275"/>
      <c r="S161" s="275"/>
      <c r="T161" s="275"/>
      <c r="U161" s="275"/>
      <c r="V161" s="275"/>
      <c r="W161" s="275"/>
      <c r="X161" s="275"/>
      <c r="Y161" s="275"/>
      <c r="Z161" s="275"/>
    </row>
    <row r="162" spans="1:26" s="276" customFormat="1" ht="57">
      <c r="A162" s="291"/>
      <c r="B162" s="275"/>
      <c r="C162" s="275"/>
      <c r="D162" s="275"/>
      <c r="E162" s="330"/>
      <c r="F162" s="325"/>
      <c r="G162" s="238" t="s">
        <v>939</v>
      </c>
      <c r="H162" s="301">
        <v>43327</v>
      </c>
      <c r="I162" s="211"/>
      <c r="J162" s="211" t="s">
        <v>421</v>
      </c>
      <c r="K162" s="211" t="s">
        <v>421</v>
      </c>
      <c r="L162" s="314" t="s">
        <v>1009</v>
      </c>
      <c r="M162" s="314"/>
      <c r="N162" s="315"/>
      <c r="O162" s="331"/>
      <c r="P162" s="275"/>
      <c r="Q162" s="275"/>
      <c r="R162" s="275"/>
      <c r="S162" s="275"/>
      <c r="T162" s="275"/>
      <c r="U162" s="275"/>
      <c r="V162" s="275"/>
      <c r="W162" s="275"/>
      <c r="X162" s="275"/>
      <c r="Y162" s="275"/>
      <c r="Z162" s="275"/>
    </row>
    <row r="163" spans="1:26" s="276" customFormat="1">
      <c r="A163" s="291"/>
      <c r="B163" s="275"/>
      <c r="C163" s="275"/>
      <c r="D163" s="275"/>
      <c r="E163" s="330"/>
      <c r="F163" s="325"/>
      <c r="G163" s="238" t="s">
        <v>286</v>
      </c>
      <c r="H163" s="301">
        <v>43327</v>
      </c>
      <c r="I163" s="211"/>
      <c r="J163" s="211" t="s">
        <v>282</v>
      </c>
      <c r="K163" s="331"/>
      <c r="L163" s="314" t="s">
        <v>1009</v>
      </c>
      <c r="M163" s="314"/>
      <c r="N163" s="315"/>
      <c r="O163" s="331"/>
      <c r="P163" s="275"/>
      <c r="Q163" s="275"/>
      <c r="R163" s="275"/>
      <c r="S163" s="275"/>
      <c r="T163" s="275"/>
      <c r="U163" s="275"/>
      <c r="V163" s="275"/>
      <c r="W163" s="275"/>
      <c r="X163" s="275"/>
      <c r="Y163" s="275"/>
      <c r="Z163" s="275"/>
    </row>
    <row r="164" spans="1:26" s="276" customFormat="1" ht="45.6">
      <c r="A164" s="291"/>
      <c r="B164" s="275"/>
      <c r="C164" s="275"/>
      <c r="D164" s="275"/>
      <c r="E164" s="330"/>
      <c r="F164" s="325"/>
      <c r="G164" s="238" t="s">
        <v>940</v>
      </c>
      <c r="H164" s="301">
        <v>43327</v>
      </c>
      <c r="I164" s="211"/>
      <c r="J164" s="211" t="s">
        <v>941</v>
      </c>
      <c r="K164" s="211" t="s">
        <v>941</v>
      </c>
      <c r="L164" s="314" t="s">
        <v>1009</v>
      </c>
      <c r="M164" s="314"/>
      <c r="N164" s="315"/>
      <c r="O164" s="331"/>
      <c r="P164" s="275"/>
      <c r="Q164" s="275"/>
      <c r="R164" s="275"/>
      <c r="S164" s="275"/>
      <c r="T164" s="275"/>
      <c r="U164" s="275"/>
      <c r="V164" s="275"/>
      <c r="W164" s="275"/>
      <c r="X164" s="275"/>
      <c r="Y164" s="275"/>
      <c r="Z164" s="275"/>
    </row>
    <row r="165" spans="1:26" s="281" customFormat="1" ht="34.200000000000003">
      <c r="A165" s="292"/>
      <c r="B165" s="280"/>
      <c r="C165" s="280"/>
      <c r="D165" s="280"/>
      <c r="E165" s="330">
        <v>9</v>
      </c>
      <c r="F165" s="321" t="s">
        <v>942</v>
      </c>
      <c r="G165" s="321" t="s">
        <v>943</v>
      </c>
      <c r="H165" s="301">
        <v>43327</v>
      </c>
      <c r="I165" s="211"/>
      <c r="J165" s="211" t="s">
        <v>288</v>
      </c>
      <c r="K165" s="211" t="s">
        <v>288</v>
      </c>
      <c r="L165" s="314" t="s">
        <v>1009</v>
      </c>
      <c r="M165" s="314"/>
      <c r="N165" s="315"/>
      <c r="O165" s="331"/>
      <c r="P165" s="280"/>
      <c r="Q165" s="280"/>
      <c r="R165" s="280"/>
      <c r="S165" s="280"/>
      <c r="T165" s="280"/>
      <c r="U165" s="280"/>
      <c r="V165" s="280"/>
      <c r="W165" s="280"/>
      <c r="X165" s="280"/>
      <c r="Y165" s="280"/>
      <c r="Z165" s="280"/>
    </row>
    <row r="166" spans="1:26" s="281" customFormat="1" ht="22.8">
      <c r="A166" s="292"/>
      <c r="B166" s="280"/>
      <c r="C166" s="280"/>
      <c r="D166" s="280"/>
      <c r="E166" s="330"/>
      <c r="F166" s="321"/>
      <c r="G166" s="238" t="s">
        <v>662</v>
      </c>
      <c r="H166" s="301">
        <v>43327</v>
      </c>
      <c r="I166" s="211"/>
      <c r="J166" s="211" t="s">
        <v>282</v>
      </c>
      <c r="K166" s="331"/>
      <c r="L166" s="314" t="s">
        <v>1009</v>
      </c>
      <c r="M166" s="314"/>
      <c r="N166" s="315"/>
      <c r="O166" s="331"/>
      <c r="P166" s="280"/>
      <c r="Q166" s="280"/>
      <c r="R166" s="280"/>
      <c r="S166" s="280"/>
      <c r="T166" s="280"/>
      <c r="U166" s="280"/>
      <c r="V166" s="280"/>
      <c r="W166" s="280"/>
      <c r="X166" s="280"/>
      <c r="Y166" s="280"/>
      <c r="Z166" s="280"/>
    </row>
    <row r="167" spans="1:26" s="281" customFormat="1" ht="34.200000000000003">
      <c r="A167" s="292"/>
      <c r="B167" s="280"/>
      <c r="C167" s="280"/>
      <c r="D167" s="280"/>
      <c r="E167" s="330"/>
      <c r="F167" s="321"/>
      <c r="G167" s="238" t="s">
        <v>290</v>
      </c>
      <c r="H167" s="301">
        <v>43327</v>
      </c>
      <c r="I167" s="211"/>
      <c r="J167" s="211" t="s">
        <v>756</v>
      </c>
      <c r="K167" s="211" t="s">
        <v>756</v>
      </c>
      <c r="L167" s="314" t="s">
        <v>1009</v>
      </c>
      <c r="M167" s="314"/>
      <c r="N167" s="315"/>
      <c r="O167" s="331"/>
      <c r="P167" s="280"/>
      <c r="Q167" s="280"/>
      <c r="R167" s="280"/>
      <c r="S167" s="280"/>
      <c r="T167" s="280"/>
      <c r="U167" s="280"/>
      <c r="V167" s="280"/>
      <c r="W167" s="280"/>
      <c r="X167" s="280"/>
      <c r="Y167" s="280"/>
      <c r="Z167" s="280"/>
    </row>
    <row r="168" spans="1:26" s="281" customFormat="1">
      <c r="A168" s="292"/>
      <c r="B168" s="280"/>
      <c r="C168" s="280"/>
      <c r="D168" s="280"/>
      <c r="E168" s="330"/>
      <c r="F168" s="325"/>
      <c r="G168" s="321" t="s">
        <v>286</v>
      </c>
      <c r="H168" s="301">
        <v>43327</v>
      </c>
      <c r="I168" s="211"/>
      <c r="J168" s="211" t="s">
        <v>282</v>
      </c>
      <c r="K168" s="331"/>
      <c r="L168" s="314" t="s">
        <v>1009</v>
      </c>
      <c r="M168" s="314"/>
      <c r="N168" s="315"/>
      <c r="O168" s="331"/>
      <c r="P168" s="280"/>
      <c r="Q168" s="280"/>
      <c r="R168" s="280"/>
      <c r="S168" s="280"/>
      <c r="T168" s="280"/>
      <c r="U168" s="280"/>
      <c r="V168" s="280"/>
      <c r="W168" s="280"/>
      <c r="X168" s="280"/>
      <c r="Y168" s="280"/>
      <c r="Z168" s="280"/>
    </row>
    <row r="169" spans="1:26" s="276" customFormat="1" ht="68.400000000000006">
      <c r="A169" s="291"/>
      <c r="B169" s="275"/>
      <c r="C169" s="275"/>
      <c r="D169" s="275"/>
      <c r="E169" s="330"/>
      <c r="F169" s="325"/>
      <c r="G169" s="321" t="s">
        <v>945</v>
      </c>
      <c r="H169" s="301">
        <v>43327</v>
      </c>
      <c r="I169" s="211"/>
      <c r="J169" s="211" t="s">
        <v>288</v>
      </c>
      <c r="K169" s="211" t="s">
        <v>288</v>
      </c>
      <c r="L169" s="314" t="s">
        <v>1009</v>
      </c>
      <c r="M169" s="314"/>
      <c r="N169" s="315"/>
      <c r="O169" s="331"/>
      <c r="P169" s="275"/>
      <c r="Q169" s="275"/>
      <c r="R169" s="275"/>
      <c r="S169" s="275"/>
      <c r="T169" s="275"/>
      <c r="U169" s="275"/>
      <c r="V169" s="275"/>
      <c r="W169" s="275"/>
      <c r="X169" s="275"/>
      <c r="Y169" s="275"/>
      <c r="Z169" s="275"/>
    </row>
    <row r="170" spans="1:26" s="276" customFormat="1" ht="22.8">
      <c r="A170" s="291"/>
      <c r="B170" s="275"/>
      <c r="C170" s="275"/>
      <c r="D170" s="275"/>
      <c r="E170" s="330"/>
      <c r="F170" s="325"/>
      <c r="G170" s="238" t="s">
        <v>662</v>
      </c>
      <c r="H170" s="301">
        <v>43327</v>
      </c>
      <c r="I170" s="211"/>
      <c r="J170" s="211" t="s">
        <v>282</v>
      </c>
      <c r="K170" s="331"/>
      <c r="L170" s="314" t="s">
        <v>1009</v>
      </c>
      <c r="M170" s="314"/>
      <c r="N170" s="315"/>
      <c r="O170" s="331"/>
      <c r="P170" s="275"/>
      <c r="Q170" s="275"/>
      <c r="R170" s="275"/>
      <c r="S170" s="275"/>
      <c r="T170" s="275"/>
      <c r="U170" s="275"/>
      <c r="V170" s="275"/>
      <c r="W170" s="275"/>
      <c r="X170" s="275"/>
      <c r="Y170" s="275"/>
      <c r="Z170" s="275"/>
    </row>
    <row r="171" spans="1:26" s="276" customFormat="1" ht="34.200000000000003">
      <c r="A171" s="291"/>
      <c r="B171" s="275"/>
      <c r="C171" s="275"/>
      <c r="D171" s="275"/>
      <c r="E171" s="330"/>
      <c r="F171" s="325"/>
      <c r="G171" s="238" t="s">
        <v>290</v>
      </c>
      <c r="H171" s="301">
        <v>43327</v>
      </c>
      <c r="I171" s="211"/>
      <c r="J171" s="211" t="s">
        <v>756</v>
      </c>
      <c r="K171" s="331"/>
      <c r="L171" s="314" t="s">
        <v>1009</v>
      </c>
      <c r="M171" s="314"/>
      <c r="N171" s="315"/>
      <c r="O171" s="331"/>
      <c r="P171" s="275"/>
      <c r="Q171" s="275"/>
      <c r="R171" s="275"/>
      <c r="S171" s="275"/>
      <c r="T171" s="275"/>
      <c r="U171" s="275"/>
      <c r="V171" s="275"/>
      <c r="W171" s="275"/>
      <c r="X171" s="275"/>
      <c r="Y171" s="275"/>
      <c r="Z171" s="275"/>
    </row>
    <row r="172" spans="1:26" s="281" customFormat="1" ht="22.8">
      <c r="A172" s="292"/>
      <c r="B172" s="280"/>
      <c r="C172" s="280"/>
      <c r="D172" s="280"/>
      <c r="E172" s="330"/>
      <c r="F172" s="325"/>
      <c r="G172" s="238" t="s">
        <v>664</v>
      </c>
      <c r="H172" s="301">
        <v>43327</v>
      </c>
      <c r="I172" s="211"/>
      <c r="J172" s="211" t="s">
        <v>282</v>
      </c>
      <c r="K172" s="331"/>
      <c r="L172" s="314" t="s">
        <v>1009</v>
      </c>
      <c r="M172" s="314"/>
      <c r="N172" s="315"/>
      <c r="O172" s="331"/>
      <c r="P172" s="280"/>
      <c r="Q172" s="280"/>
      <c r="R172" s="280"/>
      <c r="S172" s="280"/>
      <c r="T172" s="280"/>
      <c r="U172" s="280"/>
      <c r="V172" s="280"/>
      <c r="W172" s="280"/>
      <c r="X172" s="280"/>
      <c r="Y172" s="280"/>
      <c r="Z172" s="280"/>
    </row>
    <row r="173" spans="1:26" s="276" customFormat="1" ht="57">
      <c r="A173" s="291"/>
      <c r="B173" s="275"/>
      <c r="C173" s="275"/>
      <c r="D173" s="275"/>
      <c r="E173" s="330"/>
      <c r="F173" s="325"/>
      <c r="G173" s="321" t="s">
        <v>944</v>
      </c>
      <c r="H173" s="301">
        <v>43327</v>
      </c>
      <c r="I173" s="211"/>
      <c r="J173" s="211" t="s">
        <v>756</v>
      </c>
      <c r="K173" s="211" t="s">
        <v>756</v>
      </c>
      <c r="L173" s="314" t="s">
        <v>1009</v>
      </c>
      <c r="M173" s="314"/>
      <c r="N173" s="315"/>
      <c r="O173" s="331"/>
      <c r="P173" s="275"/>
      <c r="Q173" s="275"/>
      <c r="R173" s="275"/>
      <c r="S173" s="275"/>
      <c r="T173" s="275"/>
      <c r="U173" s="275"/>
      <c r="V173" s="275"/>
      <c r="W173" s="275"/>
      <c r="X173" s="275"/>
      <c r="Y173" s="275"/>
      <c r="Z173" s="275"/>
    </row>
    <row r="174" spans="1:26" s="276" customFormat="1" ht="22.8">
      <c r="A174" s="291"/>
      <c r="B174" s="275"/>
      <c r="C174" s="275"/>
      <c r="D174" s="275"/>
      <c r="E174" s="330"/>
      <c r="F174" s="325"/>
      <c r="G174" s="238" t="s">
        <v>662</v>
      </c>
      <c r="H174" s="301">
        <v>43327</v>
      </c>
      <c r="I174" s="211"/>
      <c r="J174" s="211" t="s">
        <v>282</v>
      </c>
      <c r="K174" s="331"/>
      <c r="L174" s="314" t="s">
        <v>1009</v>
      </c>
      <c r="M174" s="314"/>
      <c r="N174" s="315"/>
      <c r="O174" s="331"/>
      <c r="P174" s="275"/>
      <c r="Q174" s="275"/>
      <c r="R174" s="275"/>
      <c r="S174" s="275"/>
      <c r="T174" s="275"/>
      <c r="U174" s="275"/>
      <c r="V174" s="275"/>
      <c r="W174" s="275"/>
      <c r="X174" s="275"/>
      <c r="Y174" s="275"/>
      <c r="Z174" s="275"/>
    </row>
    <row r="175" spans="1:26" s="276" customFormat="1" ht="68.400000000000006">
      <c r="A175" s="291"/>
      <c r="B175" s="275"/>
      <c r="C175" s="275"/>
      <c r="D175" s="275"/>
      <c r="E175" s="330"/>
      <c r="F175" s="325"/>
      <c r="G175" s="321" t="s">
        <v>945</v>
      </c>
      <c r="H175" s="301">
        <v>43327</v>
      </c>
      <c r="I175" s="211"/>
      <c r="J175" s="211" t="s">
        <v>756</v>
      </c>
      <c r="K175" s="211" t="s">
        <v>756</v>
      </c>
      <c r="L175" s="314" t="s">
        <v>1009</v>
      </c>
      <c r="M175" s="314"/>
      <c r="N175" s="315"/>
      <c r="O175" s="331"/>
      <c r="P175" s="275"/>
      <c r="Q175" s="275"/>
      <c r="R175" s="275"/>
      <c r="S175" s="275"/>
      <c r="T175" s="275"/>
      <c r="U175" s="275"/>
      <c r="V175" s="275"/>
      <c r="W175" s="275"/>
      <c r="X175" s="275"/>
      <c r="Y175" s="275"/>
      <c r="Z175" s="275"/>
    </row>
    <row r="176" spans="1:26" s="276" customFormat="1">
      <c r="A176" s="291"/>
      <c r="B176" s="275"/>
      <c r="C176" s="275"/>
      <c r="D176" s="275"/>
      <c r="E176" s="330"/>
      <c r="F176" s="325"/>
      <c r="G176" s="321" t="s">
        <v>286</v>
      </c>
      <c r="H176" s="301">
        <v>43327</v>
      </c>
      <c r="I176" s="211"/>
      <c r="J176" s="211" t="s">
        <v>282</v>
      </c>
      <c r="K176" s="331"/>
      <c r="L176" s="314" t="s">
        <v>1009</v>
      </c>
      <c r="M176" s="314"/>
      <c r="N176" s="315"/>
      <c r="O176" s="331"/>
      <c r="P176" s="275"/>
      <c r="Q176" s="275"/>
      <c r="R176" s="275"/>
      <c r="S176" s="275"/>
      <c r="T176" s="275"/>
      <c r="U176" s="275"/>
      <c r="V176" s="275"/>
      <c r="W176" s="275"/>
      <c r="X176" s="275"/>
      <c r="Y176" s="275"/>
      <c r="Z176" s="275"/>
    </row>
    <row r="177" spans="1:26" s="276" customFormat="1" ht="68.400000000000006">
      <c r="A177" s="291"/>
      <c r="B177" s="275"/>
      <c r="C177" s="275"/>
      <c r="D177" s="275"/>
      <c r="E177" s="330"/>
      <c r="F177" s="325"/>
      <c r="G177" s="321" t="s">
        <v>946</v>
      </c>
      <c r="H177" s="301">
        <v>43327</v>
      </c>
      <c r="I177" s="211"/>
      <c r="J177" s="211" t="s">
        <v>756</v>
      </c>
      <c r="K177" s="211" t="s">
        <v>756</v>
      </c>
      <c r="L177" s="314" t="s">
        <v>1009</v>
      </c>
      <c r="M177" s="314"/>
      <c r="N177" s="315"/>
      <c r="O177" s="331"/>
      <c r="P177" s="275"/>
      <c r="Q177" s="275"/>
      <c r="R177" s="275"/>
      <c r="S177" s="275"/>
      <c r="T177" s="275"/>
      <c r="U177" s="275"/>
      <c r="V177" s="275"/>
      <c r="W177" s="275"/>
      <c r="X177" s="275"/>
      <c r="Y177" s="275"/>
      <c r="Z177" s="275"/>
    </row>
    <row r="178" spans="1:26" s="276" customFormat="1">
      <c r="A178" s="291"/>
      <c r="B178" s="275"/>
      <c r="C178" s="275"/>
      <c r="D178" s="275"/>
      <c r="E178" s="330"/>
      <c r="F178" s="325"/>
      <c r="G178" s="321" t="s">
        <v>286</v>
      </c>
      <c r="H178" s="301">
        <v>43327</v>
      </c>
      <c r="I178" s="211"/>
      <c r="J178" s="211" t="s">
        <v>282</v>
      </c>
      <c r="K178" s="331"/>
      <c r="L178" s="314" t="s">
        <v>1009</v>
      </c>
      <c r="M178" s="314"/>
      <c r="N178" s="315"/>
      <c r="O178" s="331"/>
      <c r="P178" s="275"/>
      <c r="Q178" s="275"/>
      <c r="R178" s="275"/>
      <c r="S178" s="275"/>
      <c r="T178" s="275"/>
      <c r="U178" s="275"/>
      <c r="V178" s="275"/>
      <c r="W178" s="275"/>
      <c r="X178" s="275"/>
      <c r="Y178" s="275"/>
      <c r="Z178" s="275"/>
    </row>
    <row r="179" spans="1:26" s="276" customFormat="1" ht="15.75" customHeight="1">
      <c r="A179" s="291"/>
      <c r="B179" s="275"/>
      <c r="C179" s="275"/>
      <c r="D179" s="275"/>
      <c r="E179" s="330"/>
      <c r="F179" s="325"/>
      <c r="G179" s="321" t="s">
        <v>947</v>
      </c>
      <c r="H179" s="301">
        <v>43327</v>
      </c>
      <c r="I179" s="211"/>
      <c r="J179" s="211" t="s">
        <v>288</v>
      </c>
      <c r="K179" s="211" t="s">
        <v>288</v>
      </c>
      <c r="L179" s="314" t="s">
        <v>1009</v>
      </c>
      <c r="M179" s="314"/>
      <c r="N179" s="315"/>
      <c r="O179" s="331"/>
      <c r="P179" s="275"/>
      <c r="Q179" s="275"/>
      <c r="R179" s="275"/>
      <c r="S179" s="275"/>
      <c r="T179" s="275"/>
      <c r="U179" s="275"/>
      <c r="V179" s="275"/>
      <c r="W179" s="275"/>
      <c r="X179" s="275"/>
      <c r="Y179" s="275"/>
      <c r="Z179" s="275"/>
    </row>
    <row r="180" spans="1:26" s="276" customFormat="1" ht="22.8">
      <c r="A180" s="291"/>
      <c r="B180" s="275"/>
      <c r="C180" s="275"/>
      <c r="D180" s="275"/>
      <c r="E180" s="330"/>
      <c r="F180" s="325"/>
      <c r="G180" s="238" t="s">
        <v>662</v>
      </c>
      <c r="H180" s="301">
        <v>43327</v>
      </c>
      <c r="I180" s="211"/>
      <c r="J180" s="211" t="s">
        <v>282</v>
      </c>
      <c r="K180" s="331"/>
      <c r="L180" s="314" t="s">
        <v>1009</v>
      </c>
      <c r="M180" s="314"/>
      <c r="N180" s="315"/>
      <c r="O180" s="331"/>
      <c r="P180" s="275"/>
      <c r="Q180" s="275"/>
      <c r="R180" s="275"/>
      <c r="S180" s="275"/>
      <c r="T180" s="275"/>
      <c r="U180" s="275"/>
      <c r="V180" s="275"/>
      <c r="W180" s="275"/>
      <c r="X180" s="275"/>
      <c r="Y180" s="275"/>
      <c r="Z180" s="275"/>
    </row>
    <row r="181" spans="1:26" s="276" customFormat="1" ht="34.200000000000003">
      <c r="A181" s="291"/>
      <c r="B181" s="275"/>
      <c r="C181" s="275"/>
      <c r="D181" s="275"/>
      <c r="E181" s="330"/>
      <c r="F181" s="325"/>
      <c r="G181" s="238" t="s">
        <v>290</v>
      </c>
      <c r="H181" s="301">
        <v>43327</v>
      </c>
      <c r="I181" s="211"/>
      <c r="J181" s="211" t="s">
        <v>756</v>
      </c>
      <c r="K181" s="211" t="s">
        <v>756</v>
      </c>
      <c r="L181" s="314" t="s">
        <v>1009</v>
      </c>
      <c r="M181" s="314"/>
      <c r="N181" s="315"/>
      <c r="O181" s="331"/>
      <c r="P181" s="275"/>
      <c r="Q181" s="275"/>
      <c r="R181" s="275"/>
      <c r="S181" s="275"/>
      <c r="T181" s="275"/>
      <c r="U181" s="275"/>
      <c r="V181" s="275"/>
      <c r="W181" s="275"/>
      <c r="X181" s="275"/>
      <c r="Y181" s="275"/>
      <c r="Z181" s="275"/>
    </row>
    <row r="182" spans="1:26" s="276" customFormat="1" ht="22.8">
      <c r="A182" s="291"/>
      <c r="B182" s="275"/>
      <c r="C182" s="275"/>
      <c r="D182" s="275"/>
      <c r="E182" s="330"/>
      <c r="F182" s="325"/>
      <c r="G182" s="238" t="s">
        <v>664</v>
      </c>
      <c r="H182" s="301">
        <v>43327</v>
      </c>
      <c r="I182" s="211"/>
      <c r="J182" s="211" t="s">
        <v>282</v>
      </c>
      <c r="K182" s="331"/>
      <c r="L182" s="314" t="s">
        <v>1009</v>
      </c>
      <c r="M182" s="314"/>
      <c r="N182" s="315"/>
      <c r="O182" s="331"/>
      <c r="P182" s="275"/>
      <c r="Q182" s="275"/>
      <c r="R182" s="275"/>
      <c r="S182" s="275"/>
      <c r="T182" s="275"/>
      <c r="U182" s="275"/>
      <c r="V182" s="275"/>
      <c r="W182" s="275"/>
      <c r="X182" s="275"/>
      <c r="Y182" s="275"/>
      <c r="Z182" s="275"/>
    </row>
    <row r="183" spans="1:26" s="276" customFormat="1" ht="57">
      <c r="A183" s="291"/>
      <c r="B183" s="275"/>
      <c r="C183" s="275"/>
      <c r="D183" s="275"/>
      <c r="E183" s="330"/>
      <c r="F183" s="325"/>
      <c r="G183" s="238" t="s">
        <v>948</v>
      </c>
      <c r="H183" s="301">
        <v>43327</v>
      </c>
      <c r="I183" s="211"/>
      <c r="J183" s="211" t="s">
        <v>288</v>
      </c>
      <c r="K183" s="211" t="s">
        <v>288</v>
      </c>
      <c r="L183" s="314" t="s">
        <v>1009</v>
      </c>
      <c r="M183" s="314"/>
      <c r="N183" s="315"/>
      <c r="O183" s="331"/>
      <c r="P183" s="275"/>
      <c r="Q183" s="275"/>
      <c r="R183" s="275"/>
      <c r="S183" s="275"/>
      <c r="T183" s="275"/>
      <c r="U183" s="275"/>
      <c r="V183" s="275"/>
      <c r="W183" s="275"/>
      <c r="X183" s="275"/>
      <c r="Y183" s="275"/>
      <c r="Z183" s="275"/>
    </row>
    <row r="184" spans="1:26" s="276" customFormat="1" ht="22.8">
      <c r="A184" s="291"/>
      <c r="B184" s="275"/>
      <c r="C184" s="275"/>
      <c r="D184" s="275"/>
      <c r="E184" s="330"/>
      <c r="F184" s="325"/>
      <c r="G184" s="238" t="s">
        <v>662</v>
      </c>
      <c r="H184" s="301">
        <v>43327</v>
      </c>
      <c r="I184" s="211"/>
      <c r="J184" s="211" t="s">
        <v>282</v>
      </c>
      <c r="K184" s="331"/>
      <c r="L184" s="314" t="s">
        <v>1009</v>
      </c>
      <c r="M184" s="314"/>
      <c r="N184" s="315"/>
      <c r="O184" s="331"/>
      <c r="P184" s="275"/>
      <c r="Q184" s="275"/>
      <c r="R184" s="275"/>
      <c r="S184" s="275"/>
      <c r="T184" s="275"/>
      <c r="U184" s="275"/>
      <c r="V184" s="275"/>
      <c r="W184" s="275"/>
      <c r="X184" s="275"/>
      <c r="Y184" s="275"/>
      <c r="Z184" s="275"/>
    </row>
    <row r="185" spans="1:26" s="276" customFormat="1" ht="34.200000000000003">
      <c r="A185" s="291"/>
      <c r="B185" s="275"/>
      <c r="C185" s="275"/>
      <c r="D185" s="275"/>
      <c r="E185" s="330"/>
      <c r="F185" s="325"/>
      <c r="G185" s="238" t="s">
        <v>290</v>
      </c>
      <c r="H185" s="301">
        <v>43327</v>
      </c>
      <c r="I185" s="211"/>
      <c r="J185" s="211" t="s">
        <v>663</v>
      </c>
      <c r="K185" s="211" t="s">
        <v>663</v>
      </c>
      <c r="L185" s="314" t="s">
        <v>1009</v>
      </c>
      <c r="M185" s="314"/>
      <c r="N185" s="315"/>
      <c r="O185" s="331"/>
      <c r="P185" s="275"/>
      <c r="Q185" s="275"/>
      <c r="R185" s="275"/>
      <c r="S185" s="275"/>
      <c r="T185" s="275"/>
      <c r="U185" s="275"/>
      <c r="V185" s="275"/>
      <c r="W185" s="275"/>
      <c r="X185" s="275"/>
      <c r="Y185" s="275"/>
      <c r="Z185" s="275"/>
    </row>
    <row r="186" spans="1:26" s="276" customFormat="1" ht="22.8">
      <c r="A186" s="291"/>
      <c r="B186" s="275"/>
      <c r="C186" s="275"/>
      <c r="D186" s="275"/>
      <c r="E186" s="330"/>
      <c r="F186" s="325"/>
      <c r="G186" s="238" t="s">
        <v>664</v>
      </c>
      <c r="H186" s="301">
        <v>43327</v>
      </c>
      <c r="I186" s="211"/>
      <c r="J186" s="211" t="s">
        <v>282</v>
      </c>
      <c r="K186" s="331"/>
      <c r="L186" s="314" t="s">
        <v>1009</v>
      </c>
      <c r="M186" s="314"/>
      <c r="N186" s="315"/>
      <c r="O186" s="331"/>
      <c r="P186" s="275"/>
      <c r="Q186" s="275"/>
      <c r="R186" s="275"/>
      <c r="S186" s="275"/>
      <c r="T186" s="275"/>
      <c r="U186" s="275"/>
      <c r="V186" s="275"/>
      <c r="W186" s="275"/>
      <c r="X186" s="275"/>
      <c r="Y186" s="275"/>
      <c r="Z186" s="275"/>
    </row>
    <row r="187" spans="1:26" s="276" customFormat="1" ht="68.400000000000006">
      <c r="A187" s="291"/>
      <c r="B187" s="275"/>
      <c r="C187" s="275"/>
      <c r="D187" s="275"/>
      <c r="E187" s="330"/>
      <c r="F187" s="325"/>
      <c r="G187" s="321" t="s">
        <v>949</v>
      </c>
      <c r="H187" s="301">
        <v>43327</v>
      </c>
      <c r="I187" s="211"/>
      <c r="J187" s="211" t="s">
        <v>787</v>
      </c>
      <c r="K187" s="211" t="s">
        <v>787</v>
      </c>
      <c r="L187" s="314" t="s">
        <v>1009</v>
      </c>
      <c r="M187" s="314"/>
      <c r="N187" s="315"/>
      <c r="O187" s="331"/>
      <c r="P187" s="275"/>
      <c r="Q187" s="275"/>
      <c r="R187" s="275"/>
      <c r="S187" s="275"/>
      <c r="T187" s="275"/>
      <c r="U187" s="275"/>
      <c r="V187" s="275"/>
      <c r="W187" s="275"/>
      <c r="X187" s="275"/>
      <c r="Y187" s="275"/>
      <c r="Z187" s="275"/>
    </row>
    <row r="188" spans="1:26" s="276" customFormat="1" ht="34.200000000000003">
      <c r="A188" s="291"/>
      <c r="B188" s="275"/>
      <c r="C188" s="275"/>
      <c r="D188" s="275"/>
      <c r="E188" s="330"/>
      <c r="F188" s="325"/>
      <c r="G188" s="321" t="s">
        <v>950</v>
      </c>
      <c r="H188" s="301">
        <v>43327</v>
      </c>
      <c r="I188" s="211"/>
      <c r="J188" s="211" t="s">
        <v>288</v>
      </c>
      <c r="K188" s="211" t="s">
        <v>288</v>
      </c>
      <c r="L188" s="314" t="s">
        <v>1009</v>
      </c>
      <c r="M188" s="314"/>
      <c r="N188" s="315"/>
      <c r="O188" s="331"/>
      <c r="P188" s="275"/>
      <c r="Q188" s="275"/>
      <c r="R188" s="275"/>
      <c r="S188" s="275"/>
      <c r="T188" s="275"/>
      <c r="U188" s="275"/>
      <c r="V188" s="275"/>
      <c r="W188" s="275"/>
      <c r="X188" s="275"/>
      <c r="Y188" s="275"/>
      <c r="Z188" s="275"/>
    </row>
    <row r="189" spans="1:26" s="276" customFormat="1" ht="22.8">
      <c r="A189" s="291"/>
      <c r="B189" s="275"/>
      <c r="C189" s="275"/>
      <c r="D189" s="275"/>
      <c r="E189" s="330"/>
      <c r="F189" s="325"/>
      <c r="G189" s="321" t="s">
        <v>662</v>
      </c>
      <c r="H189" s="301">
        <v>43327</v>
      </c>
      <c r="I189" s="211"/>
      <c r="J189" s="211" t="s">
        <v>282</v>
      </c>
      <c r="K189" s="331"/>
      <c r="L189" s="314" t="s">
        <v>1009</v>
      </c>
      <c r="M189" s="314"/>
      <c r="N189" s="315"/>
      <c r="O189" s="331"/>
      <c r="P189" s="275"/>
      <c r="Q189" s="275"/>
      <c r="R189" s="275"/>
      <c r="S189" s="275"/>
      <c r="T189" s="275"/>
      <c r="U189" s="275"/>
      <c r="V189" s="275"/>
      <c r="W189" s="275"/>
      <c r="X189" s="275"/>
      <c r="Y189" s="275"/>
      <c r="Z189" s="275"/>
    </row>
    <row r="190" spans="1:26" s="276" customFormat="1" ht="34.200000000000003">
      <c r="A190" s="291"/>
      <c r="B190" s="275"/>
      <c r="C190" s="275"/>
      <c r="D190" s="275"/>
      <c r="E190" s="330"/>
      <c r="F190" s="325"/>
      <c r="G190" s="321" t="s">
        <v>290</v>
      </c>
      <c r="H190" s="301">
        <v>43327</v>
      </c>
      <c r="I190" s="211"/>
      <c r="J190" s="211" t="s">
        <v>663</v>
      </c>
      <c r="K190" s="211" t="s">
        <v>663</v>
      </c>
      <c r="L190" s="314" t="s">
        <v>1009</v>
      </c>
      <c r="M190" s="314"/>
      <c r="N190" s="314"/>
      <c r="O190" s="331"/>
      <c r="P190" s="275"/>
      <c r="Q190" s="275"/>
      <c r="R190" s="275"/>
      <c r="S190" s="275"/>
      <c r="T190" s="275"/>
      <c r="U190" s="275"/>
      <c r="V190" s="275"/>
      <c r="W190" s="275"/>
      <c r="X190" s="275"/>
      <c r="Y190" s="275"/>
      <c r="Z190" s="275"/>
    </row>
    <row r="191" spans="1:26" s="276" customFormat="1" ht="79.8">
      <c r="A191" s="291"/>
      <c r="B191" s="275"/>
      <c r="C191" s="275"/>
      <c r="D191" s="275"/>
      <c r="E191" s="330">
        <v>10</v>
      </c>
      <c r="F191" s="321" t="s">
        <v>951</v>
      </c>
      <c r="G191" s="321" t="s">
        <v>952</v>
      </c>
      <c r="H191" s="301">
        <v>43327</v>
      </c>
      <c r="I191" s="211"/>
      <c r="J191" s="211" t="s">
        <v>667</v>
      </c>
      <c r="K191" s="211" t="s">
        <v>667</v>
      </c>
      <c r="L191" s="314" t="s">
        <v>1009</v>
      </c>
      <c r="M191" s="314"/>
      <c r="N191" s="314"/>
      <c r="O191" s="331"/>
      <c r="P191" s="275"/>
      <c r="Q191" s="275"/>
      <c r="R191" s="275"/>
      <c r="S191" s="275"/>
      <c r="T191" s="275"/>
      <c r="U191" s="275"/>
      <c r="V191" s="275"/>
      <c r="W191" s="275"/>
      <c r="X191" s="275"/>
      <c r="Y191" s="275"/>
      <c r="Z191" s="275"/>
    </row>
    <row r="192" spans="1:26" s="276" customFormat="1" ht="91.2">
      <c r="A192" s="291"/>
      <c r="B192" s="275"/>
      <c r="C192" s="275"/>
      <c r="D192" s="275"/>
      <c r="E192" s="330"/>
      <c r="F192" s="321"/>
      <c r="G192" s="321" t="s">
        <v>953</v>
      </c>
      <c r="H192" s="301">
        <v>43327</v>
      </c>
      <c r="I192" s="211"/>
      <c r="J192" s="211" t="s">
        <v>667</v>
      </c>
      <c r="K192" s="211" t="s">
        <v>667</v>
      </c>
      <c r="L192" s="314" t="s">
        <v>1009</v>
      </c>
      <c r="M192" s="314"/>
      <c r="N192" s="314"/>
      <c r="O192" s="331"/>
      <c r="P192" s="275"/>
      <c r="Q192" s="275"/>
      <c r="R192" s="275"/>
      <c r="S192" s="275"/>
      <c r="T192" s="275"/>
      <c r="U192" s="275"/>
      <c r="V192" s="275"/>
      <c r="W192" s="275"/>
      <c r="X192" s="275"/>
      <c r="Y192" s="275"/>
      <c r="Z192" s="275"/>
    </row>
    <row r="193" spans="1:26" s="276" customFormat="1" ht="102.6">
      <c r="A193" s="291"/>
      <c r="B193" s="275"/>
      <c r="C193" s="275"/>
      <c r="D193" s="275"/>
      <c r="E193" s="330"/>
      <c r="F193" s="238"/>
      <c r="G193" s="321" t="s">
        <v>954</v>
      </c>
      <c r="H193" s="301">
        <v>43327</v>
      </c>
      <c r="I193" s="211"/>
      <c r="J193" s="211" t="s">
        <v>955</v>
      </c>
      <c r="K193" s="211" t="s">
        <v>955</v>
      </c>
      <c r="L193" s="314" t="s">
        <v>1009</v>
      </c>
      <c r="M193" s="314"/>
      <c r="N193" s="314"/>
      <c r="O193" s="331"/>
      <c r="P193" s="275"/>
      <c r="Q193" s="275"/>
      <c r="R193" s="275"/>
      <c r="S193" s="275"/>
      <c r="T193" s="275"/>
      <c r="U193" s="275"/>
      <c r="V193" s="275"/>
      <c r="W193" s="275"/>
      <c r="X193" s="275"/>
      <c r="Y193" s="275"/>
      <c r="Z193" s="275"/>
    </row>
    <row r="194" spans="1:26" s="276" customFormat="1" ht="102.6">
      <c r="A194" s="291"/>
      <c r="B194" s="275"/>
      <c r="C194" s="275"/>
      <c r="D194" s="275"/>
      <c r="E194" s="330"/>
      <c r="F194" s="238"/>
      <c r="G194" s="321" t="s">
        <v>956</v>
      </c>
      <c r="H194" s="301">
        <v>43327</v>
      </c>
      <c r="I194" s="211"/>
      <c r="J194" s="211" t="s">
        <v>955</v>
      </c>
      <c r="K194" s="211" t="s">
        <v>955</v>
      </c>
      <c r="L194" s="314" t="s">
        <v>1009</v>
      </c>
      <c r="M194" s="314"/>
      <c r="N194" s="314"/>
      <c r="O194" s="331"/>
      <c r="P194" s="275"/>
      <c r="Q194" s="275"/>
      <c r="R194" s="275"/>
      <c r="S194" s="275"/>
      <c r="T194" s="275"/>
      <c r="U194" s="275"/>
      <c r="V194" s="275"/>
      <c r="W194" s="275"/>
      <c r="X194" s="275"/>
      <c r="Y194" s="275"/>
      <c r="Z194" s="275"/>
    </row>
    <row r="195" spans="1:26" s="276" customFormat="1" ht="102.6">
      <c r="A195" s="291"/>
      <c r="B195" s="275"/>
      <c r="C195" s="275"/>
      <c r="D195" s="275"/>
      <c r="E195" s="334"/>
      <c r="F195" s="338"/>
      <c r="G195" s="339" t="s">
        <v>957</v>
      </c>
      <c r="H195" s="301">
        <v>43327</v>
      </c>
      <c r="I195" s="256"/>
      <c r="J195" s="256" t="s">
        <v>941</v>
      </c>
      <c r="K195" s="256" t="s">
        <v>941</v>
      </c>
      <c r="L195" s="316" t="s">
        <v>1009</v>
      </c>
      <c r="M195" s="316"/>
      <c r="N195" s="316"/>
      <c r="O195" s="340"/>
      <c r="P195" s="275"/>
      <c r="Q195" s="275"/>
      <c r="R195" s="275"/>
      <c r="S195" s="275"/>
      <c r="T195" s="275"/>
      <c r="U195" s="275"/>
      <c r="V195" s="275"/>
      <c r="W195" s="275"/>
      <c r="X195" s="275"/>
      <c r="Y195" s="275"/>
      <c r="Z195" s="275"/>
    </row>
    <row r="196" spans="1:26" s="276" customFormat="1" ht="91.2">
      <c r="A196" s="291"/>
      <c r="B196" s="275"/>
      <c r="C196" s="275"/>
      <c r="D196" s="275"/>
      <c r="E196" s="330"/>
      <c r="F196" s="338"/>
      <c r="G196" s="338" t="s">
        <v>958</v>
      </c>
      <c r="H196" s="301">
        <v>43327</v>
      </c>
      <c r="I196" s="256"/>
      <c r="J196" s="256" t="s">
        <v>797</v>
      </c>
      <c r="K196" s="341" t="s">
        <v>797</v>
      </c>
      <c r="L196" s="314" t="s">
        <v>1009</v>
      </c>
      <c r="M196" s="314"/>
      <c r="N196" s="314"/>
      <c r="O196" s="331"/>
      <c r="P196" s="275"/>
      <c r="Q196" s="275"/>
      <c r="R196" s="275"/>
      <c r="S196" s="275"/>
      <c r="T196" s="275"/>
      <c r="U196" s="275"/>
      <c r="V196" s="275"/>
      <c r="W196" s="275"/>
      <c r="X196" s="275"/>
      <c r="Y196" s="275"/>
      <c r="Z196" s="275"/>
    </row>
    <row r="197" spans="1:26" s="276" customFormat="1" ht="22.8">
      <c r="A197" s="291"/>
      <c r="B197" s="275"/>
      <c r="C197" s="275"/>
      <c r="D197" s="275"/>
      <c r="E197" s="294">
        <v>11</v>
      </c>
      <c r="F197" s="191" t="s">
        <v>432</v>
      </c>
      <c r="G197" s="191" t="s">
        <v>959</v>
      </c>
      <c r="H197" s="192"/>
      <c r="I197" s="195"/>
      <c r="J197" s="191" t="s">
        <v>666</v>
      </c>
      <c r="K197" s="191" t="s">
        <v>666</v>
      </c>
      <c r="L197" s="271" t="s">
        <v>1009</v>
      </c>
      <c r="M197" s="271"/>
      <c r="N197" s="271"/>
      <c r="O197" s="293"/>
      <c r="P197" s="275"/>
      <c r="Q197" s="275"/>
      <c r="R197" s="275"/>
      <c r="S197" s="275"/>
      <c r="T197" s="275"/>
      <c r="U197" s="275"/>
      <c r="V197" s="275"/>
      <c r="W197" s="275"/>
      <c r="X197" s="275"/>
      <c r="Y197" s="275"/>
      <c r="Z197" s="275"/>
    </row>
    <row r="198" spans="1:26" s="276" customFormat="1" ht="22.8">
      <c r="A198" s="291"/>
      <c r="B198" s="275"/>
      <c r="C198" s="275"/>
      <c r="D198" s="275"/>
      <c r="E198" s="294"/>
      <c r="F198" s="195"/>
      <c r="G198" s="191" t="s">
        <v>960</v>
      </c>
      <c r="H198" s="192"/>
      <c r="I198" s="195"/>
      <c r="J198" s="191" t="s">
        <v>961</v>
      </c>
      <c r="K198" s="191" t="s">
        <v>961</v>
      </c>
      <c r="L198" s="271" t="s">
        <v>1009</v>
      </c>
      <c r="M198" s="271"/>
      <c r="N198" s="271"/>
      <c r="O198" s="293"/>
      <c r="P198" s="275"/>
      <c r="Q198" s="275"/>
      <c r="R198" s="275"/>
      <c r="S198" s="275"/>
      <c r="T198" s="275"/>
      <c r="U198" s="275"/>
      <c r="V198" s="275"/>
      <c r="W198" s="275"/>
      <c r="X198" s="275"/>
      <c r="Y198" s="275"/>
      <c r="Z198" s="275"/>
    </row>
    <row r="199" spans="1:26" s="276" customFormat="1" ht="34.200000000000003">
      <c r="A199" s="291"/>
      <c r="B199" s="275"/>
      <c r="C199" s="275"/>
      <c r="D199" s="275"/>
      <c r="E199" s="294"/>
      <c r="F199" s="195"/>
      <c r="G199" s="191" t="s">
        <v>962</v>
      </c>
      <c r="H199" s="192"/>
      <c r="I199" s="195"/>
      <c r="J199" s="191" t="s">
        <v>963</v>
      </c>
      <c r="K199" s="191" t="s">
        <v>963</v>
      </c>
      <c r="L199" s="271" t="s">
        <v>1009</v>
      </c>
      <c r="M199" s="271"/>
      <c r="N199" s="271"/>
      <c r="O199" s="293"/>
      <c r="P199" s="275"/>
      <c r="Q199" s="275"/>
      <c r="R199" s="275"/>
      <c r="S199" s="275"/>
      <c r="T199" s="275"/>
      <c r="U199" s="275"/>
      <c r="V199" s="275"/>
      <c r="W199" s="275"/>
      <c r="X199" s="275"/>
      <c r="Y199" s="275"/>
      <c r="Z199" s="275"/>
    </row>
    <row r="200" spans="1:26" s="276" customFormat="1" ht="34.200000000000003">
      <c r="A200" s="291"/>
      <c r="B200" s="275"/>
      <c r="C200" s="275"/>
      <c r="D200" s="275"/>
      <c r="E200" s="294"/>
      <c r="F200" s="195"/>
      <c r="G200" s="191" t="s">
        <v>964</v>
      </c>
      <c r="H200" s="192"/>
      <c r="I200" s="195"/>
      <c r="J200" s="191" t="s">
        <v>965</v>
      </c>
      <c r="K200" s="191" t="s">
        <v>965</v>
      </c>
      <c r="L200" s="271" t="s">
        <v>1009</v>
      </c>
      <c r="M200" s="271"/>
      <c r="N200" s="271"/>
      <c r="O200" s="293"/>
      <c r="P200" s="275"/>
      <c r="Q200" s="275"/>
      <c r="R200" s="275"/>
      <c r="S200" s="275"/>
      <c r="T200" s="275"/>
      <c r="U200" s="275"/>
      <c r="V200" s="275"/>
      <c r="W200" s="275"/>
      <c r="X200" s="275"/>
      <c r="Y200" s="275"/>
      <c r="Z200" s="275"/>
    </row>
    <row r="201" spans="1:26" s="276" customFormat="1" ht="34.200000000000003">
      <c r="A201" s="291"/>
      <c r="B201" s="275"/>
      <c r="C201" s="275"/>
      <c r="D201" s="275"/>
      <c r="E201" s="294"/>
      <c r="F201" s="195"/>
      <c r="G201" s="191" t="s">
        <v>805</v>
      </c>
      <c r="H201" s="192"/>
      <c r="I201" s="195"/>
      <c r="J201" s="191" t="s">
        <v>806</v>
      </c>
      <c r="K201" s="191" t="s">
        <v>806</v>
      </c>
      <c r="L201" s="271" t="s">
        <v>1009</v>
      </c>
      <c r="M201" s="271"/>
      <c r="N201" s="271"/>
      <c r="O201" s="293"/>
      <c r="P201" s="275"/>
      <c r="Q201" s="275"/>
      <c r="R201" s="275"/>
      <c r="S201" s="275"/>
      <c r="T201" s="275"/>
      <c r="U201" s="275"/>
      <c r="V201" s="275"/>
      <c r="W201" s="275"/>
      <c r="X201" s="275"/>
      <c r="Y201" s="275"/>
      <c r="Z201" s="275"/>
    </row>
    <row r="202" spans="1:26" s="276" customFormat="1" ht="34.200000000000003">
      <c r="A202" s="291"/>
      <c r="B202" s="275"/>
      <c r="C202" s="275"/>
      <c r="D202" s="275"/>
      <c r="E202" s="294"/>
      <c r="F202" s="195"/>
      <c r="G202" s="191" t="s">
        <v>807</v>
      </c>
      <c r="H202" s="192"/>
      <c r="I202" s="195"/>
      <c r="J202" s="191" t="s">
        <v>808</v>
      </c>
      <c r="K202" s="191" t="s">
        <v>808</v>
      </c>
      <c r="L202" s="271" t="s">
        <v>1009</v>
      </c>
      <c r="M202" s="271"/>
      <c r="N202" s="271"/>
      <c r="O202" s="293"/>
      <c r="P202" s="275"/>
      <c r="Q202" s="275"/>
      <c r="R202" s="275"/>
      <c r="S202" s="275"/>
      <c r="T202" s="275"/>
      <c r="U202" s="275"/>
      <c r="V202" s="275"/>
      <c r="W202" s="275"/>
      <c r="X202" s="275"/>
      <c r="Y202" s="275"/>
      <c r="Z202" s="275"/>
    </row>
    <row r="203" spans="1:26" s="276" customFormat="1" ht="22.8">
      <c r="A203" s="291"/>
      <c r="B203" s="275"/>
      <c r="C203" s="275"/>
      <c r="D203" s="275"/>
      <c r="E203" s="294"/>
      <c r="F203" s="195"/>
      <c r="G203" s="191" t="s">
        <v>966</v>
      </c>
      <c r="H203" s="192"/>
      <c r="I203" s="195"/>
      <c r="J203" s="191" t="s">
        <v>810</v>
      </c>
      <c r="K203" s="191" t="s">
        <v>810</v>
      </c>
      <c r="L203" s="271" t="s">
        <v>1009</v>
      </c>
      <c r="M203" s="271"/>
      <c r="N203" s="271"/>
      <c r="O203" s="293"/>
      <c r="P203" s="275"/>
      <c r="Q203" s="275"/>
      <c r="R203" s="275"/>
      <c r="S203" s="275"/>
      <c r="T203" s="275"/>
      <c r="U203" s="275"/>
      <c r="V203" s="275"/>
      <c r="W203" s="275"/>
      <c r="X203" s="275"/>
      <c r="Y203" s="275"/>
      <c r="Z203" s="275"/>
    </row>
    <row r="204" spans="1:26" s="276" customFormat="1" ht="22.8">
      <c r="A204" s="291"/>
      <c r="B204" s="275"/>
      <c r="C204" s="275"/>
      <c r="D204" s="275"/>
      <c r="E204" s="263"/>
      <c r="F204" s="265"/>
      <c r="G204" s="264" t="s">
        <v>986</v>
      </c>
      <c r="H204" s="192"/>
      <c r="I204" s="265"/>
      <c r="J204" s="264" t="s">
        <v>988</v>
      </c>
      <c r="K204" s="264" t="s">
        <v>988</v>
      </c>
      <c r="L204" s="271" t="s">
        <v>1009</v>
      </c>
      <c r="M204" s="271"/>
      <c r="N204" s="271"/>
      <c r="O204" s="266"/>
      <c r="P204" s="275"/>
      <c r="Q204" s="275"/>
      <c r="R204" s="275"/>
      <c r="S204" s="275"/>
      <c r="T204" s="275"/>
      <c r="U204" s="275"/>
      <c r="V204" s="275"/>
      <c r="W204" s="275"/>
      <c r="X204" s="275"/>
      <c r="Y204" s="275"/>
      <c r="Z204" s="275"/>
    </row>
    <row r="205" spans="1:26" s="209" customFormat="1" ht="22.8">
      <c r="A205" s="251"/>
      <c r="B205" s="252"/>
      <c r="C205" s="252"/>
      <c r="D205" s="252"/>
      <c r="E205" s="263"/>
      <c r="F205" s="265"/>
      <c r="G205" s="264" t="s">
        <v>987</v>
      </c>
      <c r="H205" s="192"/>
      <c r="I205" s="265"/>
      <c r="J205" s="264" t="s">
        <v>989</v>
      </c>
      <c r="K205" s="264" t="s">
        <v>989</v>
      </c>
      <c r="L205" s="271" t="s">
        <v>1009</v>
      </c>
      <c r="M205" s="271"/>
      <c r="N205" s="271"/>
      <c r="O205" s="266"/>
      <c r="P205" s="252"/>
      <c r="Q205" s="252"/>
      <c r="R205" s="252"/>
      <c r="S205" s="252"/>
      <c r="T205" s="252"/>
      <c r="U205" s="252"/>
      <c r="V205" s="252"/>
      <c r="W205" s="252"/>
      <c r="X205" s="252"/>
      <c r="Y205" s="252"/>
      <c r="Z205" s="252"/>
    </row>
    <row r="206" spans="1:26" s="209" customFormat="1" ht="22.8">
      <c r="A206" s="251"/>
      <c r="B206" s="252"/>
      <c r="C206" s="252"/>
      <c r="D206" s="252"/>
      <c r="E206" s="263"/>
      <c r="F206" s="265"/>
      <c r="G206" s="264" t="s">
        <v>976</v>
      </c>
      <c r="H206" s="192"/>
      <c r="I206" s="265"/>
      <c r="J206" s="264" t="s">
        <v>978</v>
      </c>
      <c r="K206" s="264" t="s">
        <v>978</v>
      </c>
      <c r="L206" s="271" t="s">
        <v>1009</v>
      </c>
      <c r="M206" s="271"/>
      <c r="N206" s="271"/>
      <c r="O206" s="266"/>
      <c r="P206" s="252"/>
      <c r="Q206" s="252"/>
      <c r="R206" s="252"/>
      <c r="S206" s="252"/>
      <c r="T206" s="252"/>
      <c r="U206" s="252"/>
      <c r="V206" s="252"/>
      <c r="W206" s="252"/>
      <c r="X206" s="252"/>
      <c r="Y206" s="252"/>
      <c r="Z206" s="252"/>
    </row>
    <row r="207" spans="1:26" s="209" customFormat="1" ht="22.8">
      <c r="A207" s="251"/>
      <c r="B207" s="252"/>
      <c r="C207" s="252"/>
      <c r="D207" s="252"/>
      <c r="E207" s="263"/>
      <c r="F207" s="265"/>
      <c r="G207" s="264" t="s">
        <v>977</v>
      </c>
      <c r="H207" s="192"/>
      <c r="I207" s="265"/>
      <c r="J207" s="264" t="s">
        <v>978</v>
      </c>
      <c r="K207" s="264" t="s">
        <v>978</v>
      </c>
      <c r="L207" s="271" t="s">
        <v>1009</v>
      </c>
      <c r="M207" s="271"/>
      <c r="N207" s="271"/>
      <c r="O207" s="266"/>
      <c r="P207" s="252"/>
      <c r="Q207" s="252"/>
      <c r="R207" s="252"/>
      <c r="S207" s="252"/>
      <c r="T207" s="252"/>
      <c r="U207" s="252"/>
      <c r="V207" s="252"/>
      <c r="W207" s="252"/>
      <c r="X207" s="252"/>
      <c r="Y207" s="252"/>
      <c r="Z207" s="252"/>
    </row>
    <row r="208" spans="1:26" s="209" customFormat="1" ht="22.8">
      <c r="A208" s="251"/>
      <c r="B208" s="252"/>
      <c r="C208" s="252"/>
      <c r="D208" s="252"/>
      <c r="E208" s="263"/>
      <c r="F208" s="265"/>
      <c r="G208" s="264" t="s">
        <v>990</v>
      </c>
      <c r="H208" s="192"/>
      <c r="I208" s="265"/>
      <c r="J208" s="264" t="s">
        <v>991</v>
      </c>
      <c r="K208" s="264" t="s">
        <v>991</v>
      </c>
      <c r="L208" s="271" t="s">
        <v>1009</v>
      </c>
      <c r="M208" s="271"/>
      <c r="N208" s="271"/>
      <c r="O208" s="266"/>
      <c r="P208" s="252"/>
      <c r="Q208" s="252"/>
      <c r="R208" s="252"/>
      <c r="S208" s="252"/>
      <c r="T208" s="252"/>
      <c r="U208" s="252"/>
      <c r="V208" s="252"/>
      <c r="W208" s="252"/>
      <c r="X208" s="252"/>
      <c r="Y208" s="252"/>
      <c r="Z208" s="252"/>
    </row>
    <row r="209" spans="1:26" s="209" customFormat="1" ht="34.200000000000003">
      <c r="A209" s="251"/>
      <c r="B209" s="252"/>
      <c r="C209" s="252"/>
      <c r="D209" s="252"/>
      <c r="E209" s="263"/>
      <c r="F209" s="265"/>
      <c r="G209" s="264" t="s">
        <v>992</v>
      </c>
      <c r="H209" s="192"/>
      <c r="I209" s="265"/>
      <c r="J209" s="264" t="s">
        <v>993</v>
      </c>
      <c r="K209" s="264" t="s">
        <v>993</v>
      </c>
      <c r="L209" s="271" t="s">
        <v>1009</v>
      </c>
      <c r="M209" s="271"/>
      <c r="N209" s="271"/>
      <c r="O209" s="266"/>
      <c r="P209" s="252"/>
      <c r="Q209" s="252"/>
      <c r="R209" s="252"/>
      <c r="S209" s="252"/>
      <c r="T209" s="252"/>
      <c r="U209" s="252"/>
      <c r="V209" s="252"/>
      <c r="W209" s="252"/>
      <c r="X209" s="252"/>
      <c r="Y209" s="252"/>
      <c r="Z209" s="252"/>
    </row>
    <row r="210" spans="1:26" s="209" customFormat="1" ht="34.200000000000003">
      <c r="A210" s="251"/>
      <c r="B210" s="252"/>
      <c r="C210" s="252"/>
      <c r="D210" s="252"/>
      <c r="E210" s="263"/>
      <c r="F210" s="265"/>
      <c r="G210" s="264" t="s">
        <v>994</v>
      </c>
      <c r="H210" s="192"/>
      <c r="I210" s="265"/>
      <c r="J210" s="264" t="s">
        <v>995</v>
      </c>
      <c r="K210" s="264" t="s">
        <v>995</v>
      </c>
      <c r="L210" s="271" t="s">
        <v>1009</v>
      </c>
      <c r="M210" s="271"/>
      <c r="N210" s="271"/>
      <c r="O210" s="266"/>
      <c r="P210" s="252"/>
      <c r="Q210" s="252"/>
      <c r="R210" s="252"/>
      <c r="S210" s="252"/>
      <c r="T210" s="252"/>
      <c r="U210" s="252"/>
      <c r="V210" s="252"/>
      <c r="W210" s="252"/>
      <c r="X210" s="252"/>
      <c r="Y210" s="252"/>
      <c r="Z210" s="252"/>
    </row>
    <row r="211" spans="1:26" s="209" customFormat="1" ht="22.8">
      <c r="A211" s="251"/>
      <c r="B211" s="252"/>
      <c r="C211" s="252"/>
      <c r="D211" s="252"/>
      <c r="E211" s="263"/>
      <c r="F211" s="265"/>
      <c r="G211" s="264" t="s">
        <v>972</v>
      </c>
      <c r="H211" s="192"/>
      <c r="I211" s="265"/>
      <c r="J211" s="264" t="s">
        <v>984</v>
      </c>
      <c r="K211" s="264" t="s">
        <v>984</v>
      </c>
      <c r="L211" s="271" t="s">
        <v>1009</v>
      </c>
      <c r="M211" s="271"/>
      <c r="N211" s="271"/>
      <c r="O211" s="266"/>
      <c r="P211" s="252"/>
      <c r="Q211" s="252"/>
      <c r="R211" s="252"/>
      <c r="S211" s="252"/>
      <c r="T211" s="252"/>
      <c r="U211" s="252"/>
      <c r="V211" s="252"/>
      <c r="W211" s="252"/>
      <c r="X211" s="252"/>
      <c r="Y211" s="252"/>
      <c r="Z211" s="252"/>
    </row>
    <row r="212" spans="1:26" s="209" customFormat="1" ht="34.200000000000003">
      <c r="A212" s="251"/>
      <c r="B212" s="252"/>
      <c r="C212" s="252"/>
      <c r="D212" s="252"/>
      <c r="E212" s="263"/>
      <c r="F212" s="265"/>
      <c r="G212" s="264" t="s">
        <v>973</v>
      </c>
      <c r="H212" s="192"/>
      <c r="I212" s="265"/>
      <c r="J212" s="264" t="s">
        <v>985</v>
      </c>
      <c r="K212" s="264" t="s">
        <v>985</v>
      </c>
      <c r="L212" s="271"/>
      <c r="M212" s="271" t="s">
        <v>1009</v>
      </c>
      <c r="N212" s="271"/>
      <c r="O212" s="266"/>
      <c r="P212" s="252"/>
      <c r="Q212" s="252"/>
      <c r="R212" s="252"/>
      <c r="S212" s="252"/>
      <c r="T212" s="252"/>
      <c r="U212" s="252"/>
      <c r="V212" s="252"/>
      <c r="W212" s="252"/>
      <c r="X212" s="252"/>
      <c r="Y212" s="252"/>
      <c r="Z212" s="252"/>
    </row>
    <row r="213" spans="1:26" s="209" customFormat="1" ht="34.200000000000003">
      <c r="A213" s="251"/>
      <c r="B213" s="252"/>
      <c r="C213" s="252"/>
      <c r="D213" s="252"/>
      <c r="E213" s="294"/>
      <c r="F213" s="195"/>
      <c r="G213" s="191" t="s">
        <v>449</v>
      </c>
      <c r="H213" s="192"/>
      <c r="I213" s="195"/>
      <c r="J213" s="191" t="s">
        <v>450</v>
      </c>
      <c r="K213" s="191" t="s">
        <v>450</v>
      </c>
      <c r="L213" s="271" t="s">
        <v>1009</v>
      </c>
      <c r="M213" s="271"/>
      <c r="N213" s="271"/>
      <c r="O213" s="293"/>
      <c r="P213" s="252"/>
      <c r="Q213" s="252"/>
      <c r="R213" s="252"/>
      <c r="S213" s="252"/>
      <c r="T213" s="252"/>
      <c r="U213" s="252"/>
      <c r="V213" s="252"/>
      <c r="W213" s="252"/>
      <c r="X213" s="252"/>
      <c r="Y213" s="252"/>
      <c r="Z213" s="252"/>
    </row>
    <row r="214" spans="1:26" s="276" customFormat="1">
      <c r="A214" s="291"/>
      <c r="B214" s="275"/>
      <c r="C214" s="275"/>
      <c r="D214" s="275"/>
      <c r="E214" s="294"/>
      <c r="F214" s="195"/>
      <c r="G214" s="191" t="s">
        <v>451</v>
      </c>
      <c r="H214" s="192"/>
      <c r="I214" s="195"/>
      <c r="J214" s="191" t="s">
        <v>452</v>
      </c>
      <c r="K214" s="191" t="s">
        <v>452</v>
      </c>
      <c r="L214" s="271" t="s">
        <v>1009</v>
      </c>
      <c r="M214" s="271"/>
      <c r="N214" s="271"/>
      <c r="O214" s="293"/>
      <c r="P214" s="275"/>
      <c r="Q214" s="275"/>
      <c r="R214" s="275"/>
      <c r="S214" s="275"/>
      <c r="T214" s="275"/>
      <c r="U214" s="275"/>
      <c r="V214" s="275"/>
      <c r="W214" s="275"/>
      <c r="X214" s="275"/>
      <c r="Y214" s="275"/>
      <c r="Z214" s="275"/>
    </row>
    <row r="215" spans="1:26" s="276" customFormat="1">
      <c r="A215" s="291"/>
      <c r="B215" s="275"/>
      <c r="C215" s="275"/>
      <c r="D215" s="275"/>
      <c r="E215" s="294"/>
      <c r="F215" s="195"/>
      <c r="G215" s="191" t="s">
        <v>453</v>
      </c>
      <c r="H215" s="192"/>
      <c r="I215" s="195"/>
      <c r="J215" s="191" t="s">
        <v>454</v>
      </c>
      <c r="K215" s="191" t="s">
        <v>454</v>
      </c>
      <c r="L215" s="271" t="s">
        <v>1009</v>
      </c>
      <c r="M215" s="271"/>
      <c r="N215" s="271"/>
      <c r="O215" s="293"/>
      <c r="P215" s="275"/>
      <c r="Q215" s="275"/>
      <c r="R215" s="275"/>
      <c r="S215" s="275"/>
      <c r="T215" s="275"/>
      <c r="U215" s="275"/>
      <c r="V215" s="275"/>
      <c r="W215" s="275"/>
      <c r="X215" s="275"/>
      <c r="Y215" s="275"/>
      <c r="Z215" s="275"/>
    </row>
    <row r="216" spans="1:26" s="276" customFormat="1">
      <c r="A216" s="291"/>
      <c r="B216" s="275"/>
      <c r="C216" s="275"/>
      <c r="D216" s="275"/>
      <c r="E216" s="294"/>
      <c r="F216" s="195"/>
      <c r="G216" s="191" t="s">
        <v>455</v>
      </c>
      <c r="H216" s="192"/>
      <c r="I216" s="195"/>
      <c r="J216" s="191" t="s">
        <v>456</v>
      </c>
      <c r="K216" s="191" t="s">
        <v>456</v>
      </c>
      <c r="L216" s="271" t="s">
        <v>1009</v>
      </c>
      <c r="M216" s="271"/>
      <c r="N216" s="271"/>
      <c r="O216" s="293"/>
      <c r="P216" s="275"/>
      <c r="Q216" s="275"/>
      <c r="R216" s="275"/>
      <c r="S216" s="275"/>
      <c r="T216" s="275"/>
      <c r="U216" s="275"/>
      <c r="V216" s="275"/>
      <c r="W216" s="275"/>
      <c r="X216" s="275"/>
      <c r="Y216" s="275"/>
      <c r="Z216" s="275"/>
    </row>
    <row r="217" spans="1:26" s="276" customFormat="1">
      <c r="A217" s="291"/>
      <c r="B217" s="275"/>
      <c r="C217" s="275"/>
      <c r="D217" s="275"/>
      <c r="E217" s="294"/>
      <c r="F217" s="195"/>
      <c r="G217" s="191" t="s">
        <v>457</v>
      </c>
      <c r="H217" s="192"/>
      <c r="I217" s="195"/>
      <c r="J217" s="191" t="s">
        <v>458</v>
      </c>
      <c r="K217" s="191" t="s">
        <v>458</v>
      </c>
      <c r="L217" s="271" t="s">
        <v>1009</v>
      </c>
      <c r="M217" s="271"/>
      <c r="N217" s="271"/>
      <c r="O217" s="293"/>
      <c r="P217" s="275"/>
      <c r="Q217" s="275"/>
      <c r="R217" s="275"/>
      <c r="S217" s="275"/>
      <c r="T217" s="275"/>
      <c r="U217" s="275"/>
      <c r="V217" s="275"/>
      <c r="W217" s="275"/>
      <c r="X217" s="275"/>
      <c r="Y217" s="275"/>
      <c r="Z217" s="275"/>
    </row>
    <row r="218" spans="1:26" s="276" customFormat="1" ht="22.8">
      <c r="A218" s="291"/>
      <c r="B218" s="275"/>
      <c r="C218" s="275"/>
      <c r="D218" s="275"/>
      <c r="E218" s="294">
        <v>12</v>
      </c>
      <c r="F218" s="191" t="s">
        <v>459</v>
      </c>
      <c r="G218" s="191" t="s">
        <v>460</v>
      </c>
      <c r="H218" s="192"/>
      <c r="I218" s="195"/>
      <c r="J218" s="191" t="s">
        <v>461</v>
      </c>
      <c r="K218" s="191" t="s">
        <v>461</v>
      </c>
      <c r="L218" s="271" t="s">
        <v>1009</v>
      </c>
      <c r="M218" s="271"/>
      <c r="N218" s="271"/>
      <c r="O218" s="293"/>
      <c r="P218" s="275"/>
      <c r="Q218" s="275"/>
      <c r="R218" s="275"/>
      <c r="S218" s="275"/>
      <c r="T218" s="275"/>
      <c r="U218" s="275"/>
      <c r="V218" s="275"/>
      <c r="W218" s="275"/>
      <c r="X218" s="275"/>
      <c r="Y218" s="275"/>
      <c r="Z218" s="275"/>
    </row>
    <row r="219" spans="1:26" s="276" customFormat="1" ht="22.8">
      <c r="A219" s="291"/>
      <c r="B219" s="275"/>
      <c r="C219" s="275"/>
      <c r="D219" s="275"/>
      <c r="E219" s="294"/>
      <c r="F219" s="195"/>
      <c r="G219" s="191" t="s">
        <v>462</v>
      </c>
      <c r="H219" s="192"/>
      <c r="I219" s="195"/>
      <c r="J219" s="191" t="s">
        <v>463</v>
      </c>
      <c r="K219" s="191" t="s">
        <v>463</v>
      </c>
      <c r="L219" s="271"/>
      <c r="M219" s="271"/>
      <c r="N219" s="271"/>
      <c r="O219" s="293"/>
      <c r="P219" s="275"/>
      <c r="Q219" s="275"/>
      <c r="R219" s="275"/>
      <c r="S219" s="275"/>
      <c r="T219" s="275"/>
      <c r="U219" s="275"/>
      <c r="V219" s="275"/>
      <c r="W219" s="275"/>
      <c r="X219" s="275"/>
      <c r="Y219" s="275"/>
      <c r="Z219" s="275"/>
    </row>
    <row r="220" spans="1:26" s="276" customFormat="1" ht="29.25" customHeight="1" thickBot="1">
      <c r="A220" s="291"/>
      <c r="B220" s="275"/>
      <c r="C220" s="275"/>
      <c r="D220" s="275"/>
      <c r="E220" s="295"/>
      <c r="F220" s="298" t="s">
        <v>46</v>
      </c>
      <c r="G220" s="296"/>
      <c r="H220" s="296"/>
      <c r="I220" s="296"/>
      <c r="J220" s="297"/>
      <c r="K220" s="297"/>
      <c r="L220" s="296"/>
      <c r="M220" s="296"/>
      <c r="N220" s="296"/>
      <c r="O220" s="296"/>
      <c r="P220" s="275"/>
      <c r="Q220" s="275"/>
      <c r="R220" s="275"/>
      <c r="S220" s="275"/>
      <c r="T220" s="275"/>
      <c r="U220" s="275"/>
      <c r="V220" s="275"/>
      <c r="W220" s="275"/>
      <c r="X220" s="275"/>
      <c r="Y220" s="275"/>
      <c r="Z220" s="275"/>
    </row>
  </sheetData>
  <sheetProtection formatCells="0" formatColumns="0" formatRows="0" insertRows="0" insertHyperlinks="0" deleteRows="0" sort="0" autoFilter="0" pivotTables="0"/>
  <mergeCells count="19">
    <mergeCell ref="H5:I6"/>
    <mergeCell ref="L5:O5"/>
    <mergeCell ref="L6:O6"/>
    <mergeCell ref="G2:I2"/>
    <mergeCell ref="L2:O2"/>
    <mergeCell ref="G3:I4"/>
    <mergeCell ref="L3:O3"/>
    <mergeCell ref="L4:O4"/>
    <mergeCell ref="G12:G13"/>
    <mergeCell ref="H7:I8"/>
    <mergeCell ref="L7:O7"/>
    <mergeCell ref="E11:F11"/>
    <mergeCell ref="H11:H13"/>
    <mergeCell ref="I11:I13"/>
    <mergeCell ref="J11:J13"/>
    <mergeCell ref="K11:K13"/>
    <mergeCell ref="L11:N11"/>
    <mergeCell ref="O11:O13"/>
    <mergeCell ref="E12:F12"/>
  </mergeCells>
  <hyperlinks>
    <hyperlink ref="I14" r:id="rId1" location="/trademark2" xr:uid="{85F32FE0-9321-431A-AF89-56EC7AD62D54}"/>
  </hyperlinks>
  <pageMargins left="0.7" right="0.7" top="0.75" bottom="0.75" header="0.3" footer="0.3"/>
  <pageSetup paperSize="9" orientation="portrait" r:id="rId2"/>
  <headerFooter>
    <oddHeader>&amp;L&amp;G</oddHeader>
    <oddFooter>&amp;LTemplate ID: TP_TE_TestCase_V.2.0.0
Copyright&amp;RFile Name: &amp;F
Page: &amp;P/&amp;N</oddFooter>
  </headerFooter>
  <drawing r:id="rId3"/>
  <legacyDrawing r:id="rId4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41" r:id="rId6" name="Button 1">
              <controlPr defaultSize="0" print="0" autoFill="0" autoPict="0" macro="[0]!Home">
                <anchor moveWithCells="1" sizeWithCells="1">
                  <from>
                    <xdr:col>6</xdr:col>
                    <xdr:colOff>381000</xdr:colOff>
                    <xdr:row>8</xdr:row>
                    <xdr:rowOff>236220</xdr:rowOff>
                  </from>
                  <to>
                    <xdr:col>6</xdr:col>
                    <xdr:colOff>1219200</xdr:colOff>
                    <xdr:row>9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Z36"/>
  <sheetViews>
    <sheetView showGridLines="0" topLeftCell="E19" workbookViewId="0">
      <selection activeCell="K15" sqref="K15"/>
    </sheetView>
  </sheetViews>
  <sheetFormatPr defaultColWidth="9.28515625" defaultRowHeight="11.4"/>
  <cols>
    <col min="1" max="1" width="11.85546875" style="10" hidden="1" customWidth="1"/>
    <col min="2" max="2" width="14.85546875" style="2" hidden="1" customWidth="1"/>
    <col min="3" max="3" width="17.28515625" style="2" hidden="1" customWidth="1"/>
    <col min="4" max="4" width="18.28515625" style="2" hidden="1" customWidth="1"/>
    <col min="5" max="5" width="8.42578125" style="2" customWidth="1"/>
    <col min="6" max="6" width="25.28515625" style="2" customWidth="1"/>
    <col min="7" max="7" width="39.85546875" style="2" customWidth="1"/>
    <col min="8" max="8" width="13.28515625" style="2" customWidth="1"/>
    <col min="9" max="9" width="18.42578125" style="2" customWidth="1"/>
    <col min="10" max="10" width="23.7109375" style="2" customWidth="1"/>
    <col min="11" max="11" width="35.140625" style="2" customWidth="1"/>
    <col min="12" max="12" width="9.85546875" style="2" customWidth="1"/>
    <col min="13" max="13" width="9.42578125" style="2" customWidth="1"/>
    <col min="14" max="14" width="9.7109375" style="2" customWidth="1"/>
    <col min="15" max="15" width="14.28515625" style="2" customWidth="1"/>
    <col min="16" max="16" width="23.85546875" style="2" customWidth="1"/>
    <col min="17" max="16384" width="9.28515625" style="2"/>
  </cols>
  <sheetData>
    <row r="1" spans="1:26" ht="18.75" customHeight="1" thickBot="1">
      <c r="K1" s="1"/>
      <c r="L1" s="1"/>
      <c r="M1" s="1"/>
      <c r="N1" s="1"/>
    </row>
    <row r="2" spans="1:26" s="1" customFormat="1" ht="33" customHeight="1">
      <c r="A2" s="11"/>
      <c r="E2" s="32" t="s">
        <v>10</v>
      </c>
      <c r="F2" s="33"/>
      <c r="G2" s="491" t="s">
        <v>97</v>
      </c>
      <c r="H2" s="492"/>
      <c r="I2" s="493"/>
      <c r="J2" s="7"/>
      <c r="K2" s="82" t="s">
        <v>22</v>
      </c>
      <c r="L2" s="470" t="s">
        <v>75</v>
      </c>
      <c r="M2" s="471"/>
      <c r="N2" s="471"/>
      <c r="O2" s="472"/>
    </row>
    <row r="3" spans="1:26" s="1" customFormat="1" ht="22.5" customHeight="1">
      <c r="A3" s="11"/>
      <c r="E3" s="34" t="s">
        <v>9</v>
      </c>
      <c r="F3" s="35"/>
      <c r="G3" s="480" t="str">
        <f>VLOOKUP(G2,'Test Case'!F13:G65515,2,TRUE)</f>
        <v>ทดสอบการบันทึกรหัสแบบรุ่นในกรณี Happy Flow</v>
      </c>
      <c r="H3" s="481"/>
      <c r="I3" s="482"/>
      <c r="J3" s="8"/>
      <c r="K3" s="36" t="s">
        <v>6</v>
      </c>
      <c r="L3" s="473" t="s">
        <v>85</v>
      </c>
      <c r="M3" s="474"/>
      <c r="N3" s="474"/>
      <c r="O3" s="475"/>
    </row>
    <row r="4" spans="1:26" s="1" customFormat="1" ht="23.25" customHeight="1" thickBot="1">
      <c r="A4" s="11"/>
      <c r="E4" s="34"/>
      <c r="F4" s="35"/>
      <c r="G4" s="483"/>
      <c r="H4" s="484"/>
      <c r="I4" s="485"/>
      <c r="J4" s="8"/>
      <c r="K4" s="36" t="s">
        <v>11</v>
      </c>
      <c r="L4" s="476" t="s">
        <v>69</v>
      </c>
      <c r="M4" s="477"/>
      <c r="N4" s="477"/>
      <c r="O4" s="478"/>
    </row>
    <row r="5" spans="1:26" s="1" customFormat="1" ht="22.5" customHeight="1">
      <c r="A5" s="11"/>
      <c r="E5" s="130"/>
      <c r="F5" s="131"/>
      <c r="G5" s="128"/>
      <c r="H5" s="494"/>
      <c r="I5" s="494"/>
      <c r="J5" s="5"/>
      <c r="K5" s="36" t="s">
        <v>4</v>
      </c>
      <c r="L5" s="476" t="s">
        <v>76</v>
      </c>
      <c r="M5" s="477"/>
      <c r="N5" s="477"/>
      <c r="O5" s="478"/>
    </row>
    <row r="6" spans="1:26" s="1" customFormat="1" ht="22.5" customHeight="1">
      <c r="A6" s="11"/>
      <c r="E6" s="130"/>
      <c r="F6" s="131"/>
      <c r="G6" s="129"/>
      <c r="H6" s="494"/>
      <c r="I6" s="494"/>
      <c r="J6" s="5"/>
      <c r="K6" s="36" t="s">
        <v>55</v>
      </c>
      <c r="L6" s="479">
        <v>43330</v>
      </c>
      <c r="M6" s="477"/>
      <c r="N6" s="477"/>
      <c r="O6" s="478"/>
    </row>
    <row r="7" spans="1:26" s="1" customFormat="1" ht="22.5" customHeight="1" thickBot="1">
      <c r="A7" s="11"/>
      <c r="E7" s="130"/>
      <c r="F7" s="131"/>
      <c r="G7" s="128"/>
      <c r="H7" s="506"/>
      <c r="I7" s="507"/>
      <c r="J7" s="5"/>
      <c r="K7" s="37" t="s">
        <v>54</v>
      </c>
      <c r="L7" s="510">
        <f>G11</f>
        <v>21</v>
      </c>
      <c r="M7" s="511"/>
      <c r="N7" s="511"/>
      <c r="O7" s="512"/>
    </row>
    <row r="8" spans="1:26" s="1" customFormat="1" ht="22.5" customHeight="1">
      <c r="A8" s="11"/>
      <c r="E8" s="130"/>
      <c r="F8" s="131"/>
      <c r="G8" s="129"/>
      <c r="H8" s="507"/>
      <c r="I8" s="507"/>
      <c r="J8" s="5"/>
      <c r="K8"/>
      <c r="N8" s="9"/>
    </row>
    <row r="9" spans="1:26" s="1" customFormat="1" ht="22.5" customHeight="1">
      <c r="A9" s="11"/>
      <c r="H9" s="2"/>
      <c r="I9" s="2"/>
      <c r="J9" s="5"/>
      <c r="K9"/>
      <c r="M9" s="2"/>
      <c r="N9" s="9"/>
    </row>
    <row r="10" spans="1:26" s="1" customFormat="1" ht="29.25" customHeight="1" thickBot="1">
      <c r="A10" s="11"/>
      <c r="J10" s="5"/>
      <c r="K10" s="2"/>
      <c r="L10" s="2"/>
      <c r="M10" s="4"/>
      <c r="N10" s="4"/>
      <c r="O10" s="4"/>
    </row>
    <row r="11" spans="1:26" s="1" customFormat="1" ht="29.25" customHeight="1">
      <c r="A11" s="89"/>
      <c r="B11" s="90"/>
      <c r="C11" s="90"/>
      <c r="D11" s="90"/>
      <c r="E11" s="508" t="s">
        <v>45</v>
      </c>
      <c r="F11" s="509"/>
      <c r="G11" s="93">
        <f>COUNTA(G14:G35)</f>
        <v>21</v>
      </c>
      <c r="H11" s="488" t="s">
        <v>51</v>
      </c>
      <c r="I11" s="488" t="s">
        <v>5</v>
      </c>
      <c r="J11" s="488" t="s">
        <v>3</v>
      </c>
      <c r="K11" s="498" t="s">
        <v>13</v>
      </c>
      <c r="L11" s="501" t="s">
        <v>48</v>
      </c>
      <c r="M11" s="502"/>
      <c r="N11" s="503"/>
      <c r="O11" s="495" t="s">
        <v>52</v>
      </c>
      <c r="P11" s="3"/>
    </row>
    <row r="12" spans="1:26" s="1" customFormat="1" ht="16.5" customHeight="1" thickBot="1">
      <c r="A12" s="91"/>
      <c r="B12" s="92" t="s">
        <v>85</v>
      </c>
      <c r="C12" s="92"/>
      <c r="D12" s="92"/>
      <c r="E12" s="504">
        <f>COUNTA(E14:E35)</f>
        <v>9</v>
      </c>
      <c r="F12" s="505"/>
      <c r="G12" s="486" t="s">
        <v>44</v>
      </c>
      <c r="H12" s="489"/>
      <c r="I12" s="489"/>
      <c r="J12" s="489"/>
      <c r="K12" s="499"/>
      <c r="L12" s="94">
        <f>COUNTA(L14:L35)</f>
        <v>0</v>
      </c>
      <c r="M12" s="95">
        <f>COUNTA(M14:M35)</f>
        <v>0</v>
      </c>
      <c r="N12" s="96">
        <f>COUNTA(N14:N35)</f>
        <v>0</v>
      </c>
      <c r="O12" s="496"/>
      <c r="P12" s="3"/>
    </row>
    <row r="13" spans="1:26" s="1" customFormat="1" ht="22.5" customHeight="1" thickBot="1">
      <c r="A13" s="23" t="s">
        <v>7</v>
      </c>
      <c r="B13" s="24" t="s">
        <v>18</v>
      </c>
      <c r="C13" s="25" t="s">
        <v>19</v>
      </c>
      <c r="D13" s="25" t="s">
        <v>17</v>
      </c>
      <c r="E13" s="175" t="s">
        <v>43</v>
      </c>
      <c r="F13" s="134" t="s">
        <v>12</v>
      </c>
      <c r="G13" s="486"/>
      <c r="H13" s="489"/>
      <c r="I13" s="489"/>
      <c r="J13" s="489"/>
      <c r="K13" s="499"/>
      <c r="L13" s="176" t="s">
        <v>42</v>
      </c>
      <c r="M13" s="177" t="s">
        <v>47</v>
      </c>
      <c r="N13" s="178" t="s">
        <v>53</v>
      </c>
      <c r="O13" s="496"/>
      <c r="P13" s="3"/>
    </row>
    <row r="14" spans="1:26" s="144" customFormat="1" ht="319.2">
      <c r="A14" s="140"/>
      <c r="B14" s="141"/>
      <c r="C14" s="142"/>
      <c r="D14" s="142"/>
      <c r="E14" s="183">
        <v>1</v>
      </c>
      <c r="F14" s="184" t="s">
        <v>241</v>
      </c>
      <c r="G14" s="184" t="s">
        <v>242</v>
      </c>
      <c r="H14" s="185"/>
      <c r="I14" s="186" t="s">
        <v>243</v>
      </c>
      <c r="J14" s="184" t="s">
        <v>244</v>
      </c>
      <c r="K14" s="184"/>
      <c r="L14" s="187"/>
      <c r="M14" s="188"/>
      <c r="N14" s="188"/>
      <c r="O14" s="188"/>
      <c r="P14" s="143"/>
    </row>
    <row r="15" spans="1:26" s="149" customFormat="1" ht="283.95" customHeight="1">
      <c r="A15" s="145"/>
      <c r="B15" s="146"/>
      <c r="C15" s="146"/>
      <c r="D15" s="147"/>
      <c r="E15" s="183">
        <v>2</v>
      </c>
      <c r="F15" s="184" t="s">
        <v>212</v>
      </c>
      <c r="G15" s="184" t="s">
        <v>245</v>
      </c>
      <c r="H15" s="185"/>
      <c r="I15" s="188"/>
      <c r="J15" s="184" t="s">
        <v>104</v>
      </c>
      <c r="K15" s="184"/>
      <c r="L15" s="187"/>
      <c r="M15" s="188"/>
      <c r="N15" s="188"/>
      <c r="O15" s="188"/>
      <c r="P15" s="148"/>
      <c r="Q15" s="148"/>
      <c r="R15" s="148"/>
      <c r="S15" s="148"/>
      <c r="T15" s="148"/>
      <c r="U15" s="148"/>
      <c r="V15" s="148"/>
      <c r="W15" s="148"/>
      <c r="X15" s="148"/>
      <c r="Y15" s="148"/>
      <c r="Z15" s="148"/>
    </row>
    <row r="16" spans="1:26" s="149" customFormat="1" ht="45.6">
      <c r="A16" s="145" t="e">
        <f>#REF!</f>
        <v>#REF!</v>
      </c>
      <c r="B16" s="146" t="e">
        <f>#REF!</f>
        <v>#REF!</v>
      </c>
      <c r="C16" s="146">
        <f t="shared" ref="C16:C22" si="0">$I$5</f>
        <v>0</v>
      </c>
      <c r="D16" s="147">
        <f t="shared" ref="D16:D22" si="1">$I$7</f>
        <v>0</v>
      </c>
      <c r="E16" s="183"/>
      <c r="F16" s="184"/>
      <c r="G16" s="184" t="s">
        <v>246</v>
      </c>
      <c r="H16" s="185"/>
      <c r="I16" s="188"/>
      <c r="J16" s="184" t="s">
        <v>105</v>
      </c>
      <c r="K16" s="184"/>
      <c r="L16" s="187"/>
      <c r="M16" s="188"/>
      <c r="N16" s="188"/>
      <c r="O16" s="188"/>
      <c r="P16" s="148"/>
      <c r="Q16" s="148"/>
      <c r="R16" s="148"/>
      <c r="S16" s="148"/>
      <c r="T16" s="148"/>
      <c r="U16" s="148"/>
      <c r="V16" s="148"/>
      <c r="W16" s="148"/>
      <c r="X16" s="148"/>
      <c r="Y16" s="148"/>
      <c r="Z16" s="148"/>
    </row>
    <row r="17" spans="1:26" s="149" customFormat="1" ht="45.6">
      <c r="A17" s="145"/>
      <c r="B17" s="146"/>
      <c r="C17" s="146"/>
      <c r="D17" s="147"/>
      <c r="E17" s="183"/>
      <c r="F17" s="184"/>
      <c r="G17" s="184" t="s">
        <v>247</v>
      </c>
      <c r="H17" s="185"/>
      <c r="I17" s="188"/>
      <c r="J17" s="184" t="s">
        <v>106</v>
      </c>
      <c r="K17" s="184"/>
      <c r="L17" s="187"/>
      <c r="M17" s="188"/>
      <c r="N17" s="188"/>
      <c r="O17" s="188"/>
      <c r="P17" s="148"/>
      <c r="Q17" s="148"/>
      <c r="R17" s="148"/>
      <c r="S17" s="148"/>
      <c r="T17" s="148"/>
      <c r="U17" s="148"/>
      <c r="V17" s="148"/>
      <c r="W17" s="148"/>
      <c r="X17" s="148"/>
      <c r="Y17" s="148"/>
      <c r="Z17" s="148"/>
    </row>
    <row r="18" spans="1:26" s="149" customFormat="1" ht="45.6">
      <c r="A18" s="145" t="e">
        <f>#REF!</f>
        <v>#REF!</v>
      </c>
      <c r="B18" s="146" t="e">
        <f>#REF!</f>
        <v>#REF!</v>
      </c>
      <c r="C18" s="146">
        <f t="shared" si="0"/>
        <v>0</v>
      </c>
      <c r="D18" s="147">
        <f t="shared" si="1"/>
        <v>0</v>
      </c>
      <c r="E18" s="183">
        <v>3</v>
      </c>
      <c r="F18" s="184" t="s">
        <v>213</v>
      </c>
      <c r="G18" s="184" t="s">
        <v>248</v>
      </c>
      <c r="H18" s="185"/>
      <c r="I18" s="188"/>
      <c r="J18" s="184" t="s">
        <v>108</v>
      </c>
      <c r="K18" s="184"/>
      <c r="L18" s="187"/>
      <c r="M18" s="188"/>
      <c r="N18" s="188"/>
      <c r="O18" s="188"/>
      <c r="P18" s="148"/>
      <c r="Q18" s="148"/>
      <c r="R18" s="148"/>
      <c r="S18" s="148"/>
      <c r="T18" s="148"/>
      <c r="U18" s="148"/>
      <c r="V18" s="148"/>
      <c r="W18" s="148"/>
      <c r="X18" s="148"/>
      <c r="Y18" s="148"/>
      <c r="Z18" s="148"/>
    </row>
    <row r="19" spans="1:26" s="149" customFormat="1" ht="57">
      <c r="A19" s="145"/>
      <c r="B19" s="146"/>
      <c r="C19" s="146"/>
      <c r="D19" s="147"/>
      <c r="E19" s="183"/>
      <c r="F19" s="184"/>
      <c r="G19" s="184" t="s">
        <v>249</v>
      </c>
      <c r="H19" s="185"/>
      <c r="I19" s="188"/>
      <c r="J19" s="184" t="s">
        <v>250</v>
      </c>
      <c r="K19" s="184"/>
      <c r="L19" s="187"/>
      <c r="M19" s="188"/>
      <c r="N19" s="188"/>
      <c r="O19" s="188"/>
      <c r="P19" s="148"/>
      <c r="Q19" s="148"/>
      <c r="R19" s="148"/>
      <c r="S19" s="148"/>
      <c r="T19" s="148"/>
      <c r="U19" s="148"/>
      <c r="V19" s="148"/>
      <c r="W19" s="148"/>
      <c r="X19" s="148"/>
      <c r="Y19" s="148"/>
      <c r="Z19" s="148"/>
    </row>
    <row r="20" spans="1:26" s="149" customFormat="1" ht="57">
      <c r="A20" s="145" t="e">
        <f>#REF!</f>
        <v>#REF!</v>
      </c>
      <c r="B20" s="146" t="e">
        <f>#REF!</f>
        <v>#REF!</v>
      </c>
      <c r="C20" s="146">
        <f t="shared" si="0"/>
        <v>0</v>
      </c>
      <c r="D20" s="147">
        <f t="shared" si="1"/>
        <v>0</v>
      </c>
      <c r="E20" s="183"/>
      <c r="F20" s="184"/>
      <c r="G20" s="184" t="s">
        <v>251</v>
      </c>
      <c r="H20" s="185"/>
      <c r="I20" s="188"/>
      <c r="J20" s="184" t="s">
        <v>252</v>
      </c>
      <c r="K20" s="184"/>
      <c r="L20" s="187"/>
      <c r="M20" s="188"/>
      <c r="N20" s="188"/>
      <c r="O20" s="188"/>
      <c r="P20" s="148"/>
      <c r="Q20" s="148"/>
      <c r="R20" s="148"/>
      <c r="S20" s="148"/>
      <c r="T20" s="148"/>
      <c r="U20" s="148"/>
      <c r="V20" s="148"/>
      <c r="W20" s="148"/>
      <c r="X20" s="148"/>
      <c r="Y20" s="148"/>
      <c r="Z20" s="148"/>
    </row>
    <row r="21" spans="1:26" s="149" customFormat="1" ht="45.6">
      <c r="A21" s="145"/>
      <c r="B21" s="146"/>
      <c r="C21" s="146"/>
      <c r="D21" s="147"/>
      <c r="E21" s="183">
        <v>4</v>
      </c>
      <c r="F21" s="184" t="s">
        <v>253</v>
      </c>
      <c r="G21" s="184" t="s">
        <v>254</v>
      </c>
      <c r="H21" s="185"/>
      <c r="I21" s="188"/>
      <c r="J21" s="184" t="s">
        <v>188</v>
      </c>
      <c r="K21" s="184"/>
      <c r="L21" s="187"/>
      <c r="M21" s="188"/>
      <c r="N21" s="188"/>
      <c r="O21" s="188"/>
      <c r="P21" s="148"/>
      <c r="Q21" s="148"/>
      <c r="R21" s="148"/>
      <c r="S21" s="148"/>
      <c r="T21" s="148"/>
      <c r="U21" s="148"/>
      <c r="V21" s="148"/>
      <c r="W21" s="148"/>
      <c r="X21" s="148"/>
      <c r="Y21" s="148"/>
      <c r="Z21" s="148"/>
    </row>
    <row r="22" spans="1:26" s="174" customFormat="1" ht="46.95" customHeight="1">
      <c r="A22" s="145" t="e">
        <f>#REF!</f>
        <v>#REF!</v>
      </c>
      <c r="B22" s="146" t="e">
        <f>#REF!</f>
        <v>#REF!</v>
      </c>
      <c r="C22" s="146">
        <f t="shared" si="0"/>
        <v>0</v>
      </c>
      <c r="D22" s="147">
        <f t="shared" si="1"/>
        <v>0</v>
      </c>
      <c r="E22" s="183"/>
      <c r="F22" s="184"/>
      <c r="G22" s="184" t="s">
        <v>255</v>
      </c>
      <c r="H22" s="185"/>
      <c r="I22" s="188"/>
      <c r="J22" s="184" t="s">
        <v>256</v>
      </c>
      <c r="K22" s="184"/>
      <c r="L22" s="187"/>
      <c r="M22" s="188"/>
      <c r="N22" s="188"/>
      <c r="O22" s="188"/>
      <c r="P22" s="173"/>
      <c r="Q22" s="173"/>
      <c r="R22" s="173"/>
      <c r="S22" s="173"/>
      <c r="T22" s="173"/>
      <c r="U22" s="173"/>
      <c r="V22" s="173"/>
      <c r="W22" s="173"/>
      <c r="X22" s="173"/>
      <c r="Y22" s="173"/>
      <c r="Z22" s="173"/>
    </row>
    <row r="23" spans="1:26" s="174" customFormat="1" ht="45.6">
      <c r="A23" s="145"/>
      <c r="B23" s="146"/>
      <c r="C23" s="146"/>
      <c r="D23" s="147"/>
      <c r="E23" s="183">
        <v>5</v>
      </c>
      <c r="F23" s="184" t="s">
        <v>257</v>
      </c>
      <c r="G23" s="184" t="s">
        <v>258</v>
      </c>
      <c r="H23" s="185"/>
      <c r="I23" s="188"/>
      <c r="J23" s="184" t="s">
        <v>259</v>
      </c>
      <c r="K23" s="184"/>
      <c r="L23" s="187"/>
      <c r="M23" s="188"/>
      <c r="N23" s="188"/>
      <c r="O23" s="188"/>
      <c r="P23" s="173"/>
      <c r="Q23" s="173"/>
      <c r="R23" s="173"/>
      <c r="S23" s="173"/>
      <c r="T23" s="173"/>
      <c r="U23" s="173"/>
      <c r="V23" s="173"/>
      <c r="W23" s="173"/>
      <c r="X23" s="173"/>
      <c r="Y23" s="173"/>
      <c r="Z23" s="173"/>
    </row>
    <row r="24" spans="1:26" s="149" customFormat="1" ht="102.6">
      <c r="A24" s="145"/>
      <c r="B24" s="146"/>
      <c r="C24" s="146"/>
      <c r="D24" s="147"/>
      <c r="E24" s="183">
        <v>6</v>
      </c>
      <c r="F24" s="184" t="s">
        <v>260</v>
      </c>
      <c r="G24" s="184" t="s">
        <v>261</v>
      </c>
      <c r="H24" s="185"/>
      <c r="I24" s="188"/>
      <c r="J24" s="184" t="s">
        <v>188</v>
      </c>
      <c r="K24" s="184"/>
      <c r="L24" s="187"/>
      <c r="M24" s="188"/>
      <c r="N24" s="188"/>
      <c r="O24" s="188"/>
      <c r="P24" s="148"/>
      <c r="Q24" s="148"/>
      <c r="R24" s="148"/>
      <c r="S24" s="148"/>
      <c r="T24" s="148"/>
      <c r="U24" s="148"/>
      <c r="V24" s="148"/>
      <c r="W24" s="148"/>
      <c r="X24" s="148"/>
      <c r="Y24" s="148"/>
      <c r="Z24" s="148"/>
    </row>
    <row r="25" spans="1:26" s="174" customFormat="1" ht="34.200000000000003">
      <c r="A25" s="145"/>
      <c r="B25" s="146"/>
      <c r="C25" s="146"/>
      <c r="D25" s="147"/>
      <c r="E25" s="183"/>
      <c r="F25" s="184"/>
      <c r="G25" s="184" t="s">
        <v>262</v>
      </c>
      <c r="H25" s="185"/>
      <c r="I25" s="188"/>
      <c r="J25" s="184" t="s">
        <v>263</v>
      </c>
      <c r="K25" s="184"/>
      <c r="L25" s="187"/>
      <c r="M25" s="188"/>
      <c r="N25" s="188"/>
      <c r="O25" s="188"/>
      <c r="P25" s="173"/>
      <c r="Q25" s="173"/>
      <c r="R25" s="173"/>
      <c r="S25" s="173"/>
      <c r="T25" s="173"/>
      <c r="U25" s="173"/>
      <c r="V25" s="173"/>
      <c r="W25" s="173"/>
      <c r="X25" s="173"/>
      <c r="Y25" s="173"/>
      <c r="Z25" s="173"/>
    </row>
    <row r="26" spans="1:26" s="174" customFormat="1" ht="114">
      <c r="A26" s="145"/>
      <c r="B26" s="146"/>
      <c r="C26" s="146"/>
      <c r="D26" s="147"/>
      <c r="E26" s="183">
        <v>7</v>
      </c>
      <c r="F26" s="184" t="s">
        <v>264</v>
      </c>
      <c r="G26" s="184" t="s">
        <v>265</v>
      </c>
      <c r="H26" s="185"/>
      <c r="I26" s="188"/>
      <c r="J26" s="184" t="s">
        <v>123</v>
      </c>
      <c r="K26" s="184"/>
      <c r="L26" s="187"/>
      <c r="M26" s="188"/>
      <c r="N26" s="188"/>
      <c r="O26" s="188"/>
      <c r="P26" s="173"/>
      <c r="Q26" s="173"/>
      <c r="R26" s="173"/>
      <c r="S26" s="173"/>
      <c r="T26" s="173"/>
      <c r="U26" s="173"/>
      <c r="V26" s="173"/>
      <c r="W26" s="173"/>
      <c r="X26" s="173"/>
      <c r="Y26" s="173"/>
      <c r="Z26" s="173"/>
    </row>
    <row r="27" spans="1:26" s="149" customFormat="1" ht="87.6" customHeight="1">
      <c r="A27" s="145"/>
      <c r="B27" s="146"/>
      <c r="C27" s="146"/>
      <c r="D27" s="147"/>
      <c r="E27" s="183"/>
      <c r="F27" s="184"/>
      <c r="G27" s="184" t="s">
        <v>266</v>
      </c>
      <c r="H27" s="185"/>
      <c r="I27" s="188"/>
      <c r="J27" s="184" t="s">
        <v>125</v>
      </c>
      <c r="K27" s="184"/>
      <c r="L27" s="187"/>
      <c r="M27" s="188"/>
      <c r="N27" s="188"/>
      <c r="O27" s="188"/>
      <c r="P27" s="148"/>
      <c r="Q27" s="148"/>
      <c r="R27" s="148"/>
      <c r="S27" s="148"/>
      <c r="T27" s="148"/>
      <c r="U27" s="148"/>
      <c r="V27" s="148"/>
      <c r="W27" s="148"/>
      <c r="X27" s="148"/>
      <c r="Y27" s="148"/>
      <c r="Z27" s="148"/>
    </row>
    <row r="28" spans="1:26" s="149" customFormat="1" ht="34.200000000000003">
      <c r="A28" s="145"/>
      <c r="B28" s="146"/>
      <c r="C28" s="146"/>
      <c r="D28" s="147"/>
      <c r="E28" s="183"/>
      <c r="F28" s="184"/>
      <c r="G28" s="184" t="s">
        <v>255</v>
      </c>
      <c r="H28" s="185"/>
      <c r="I28" s="188"/>
      <c r="J28" s="184" t="s">
        <v>267</v>
      </c>
      <c r="K28" s="184"/>
      <c r="L28" s="187"/>
      <c r="M28" s="188"/>
      <c r="N28" s="188"/>
      <c r="O28" s="188"/>
      <c r="P28" s="148"/>
      <c r="Q28" s="148"/>
      <c r="R28" s="148"/>
      <c r="S28" s="148"/>
      <c r="T28" s="148"/>
      <c r="U28" s="148"/>
      <c r="V28" s="148"/>
      <c r="W28" s="148"/>
      <c r="X28" s="148"/>
      <c r="Y28" s="148"/>
      <c r="Z28" s="148"/>
    </row>
    <row r="29" spans="1:26" s="149" customFormat="1" ht="34.200000000000003">
      <c r="A29" s="145"/>
      <c r="B29" s="146"/>
      <c r="C29" s="146"/>
      <c r="D29" s="147"/>
      <c r="E29" s="183"/>
      <c r="F29" s="184"/>
      <c r="G29" s="184" t="s">
        <v>268</v>
      </c>
      <c r="H29" s="185"/>
      <c r="I29" s="188"/>
      <c r="J29" s="184" t="s">
        <v>269</v>
      </c>
      <c r="K29" s="184"/>
      <c r="L29" s="187"/>
      <c r="M29" s="188"/>
      <c r="N29" s="188"/>
      <c r="O29" s="188"/>
      <c r="P29" s="148"/>
      <c r="Q29" s="148"/>
      <c r="R29" s="148"/>
      <c r="S29" s="148"/>
      <c r="T29" s="148"/>
      <c r="U29" s="148"/>
      <c r="V29" s="148"/>
      <c r="W29" s="148"/>
      <c r="X29" s="148"/>
      <c r="Y29" s="148"/>
      <c r="Z29" s="148"/>
    </row>
    <row r="30" spans="1:26" s="149" customFormat="1" ht="45.6">
      <c r="A30" s="145"/>
      <c r="B30" s="146"/>
      <c r="C30" s="146"/>
      <c r="D30" s="147"/>
      <c r="E30" s="183">
        <v>8</v>
      </c>
      <c r="F30" s="184" t="s">
        <v>270</v>
      </c>
      <c r="G30" s="184" t="s">
        <v>271</v>
      </c>
      <c r="H30" s="185"/>
      <c r="I30" s="188"/>
      <c r="J30" s="184" t="s">
        <v>131</v>
      </c>
      <c r="K30" s="184"/>
      <c r="L30" s="187"/>
      <c r="M30" s="188"/>
      <c r="N30" s="188"/>
      <c r="O30" s="188"/>
      <c r="P30" s="148"/>
      <c r="Q30" s="148"/>
      <c r="R30" s="148"/>
      <c r="S30" s="148"/>
      <c r="T30" s="148"/>
      <c r="U30" s="148"/>
      <c r="V30" s="148"/>
      <c r="W30" s="148"/>
      <c r="X30" s="148"/>
      <c r="Y30" s="148"/>
      <c r="Z30" s="148"/>
    </row>
    <row r="31" spans="1:26" s="149" customFormat="1" ht="34.200000000000003">
      <c r="A31" s="145"/>
      <c r="B31" s="146"/>
      <c r="C31" s="146"/>
      <c r="D31" s="147"/>
      <c r="E31" s="183">
        <v>9</v>
      </c>
      <c r="F31" s="184" t="s">
        <v>272</v>
      </c>
      <c r="G31" s="184" t="s">
        <v>273</v>
      </c>
      <c r="H31" s="185"/>
      <c r="I31" s="188"/>
      <c r="J31" s="184" t="s">
        <v>207</v>
      </c>
      <c r="K31" s="184"/>
      <c r="L31" s="187"/>
      <c r="M31" s="188"/>
      <c r="N31" s="188"/>
      <c r="O31" s="188"/>
      <c r="P31" s="148"/>
      <c r="Q31" s="148"/>
      <c r="R31" s="148"/>
      <c r="S31" s="148"/>
      <c r="T31" s="148"/>
      <c r="U31" s="148"/>
      <c r="V31" s="148"/>
      <c r="W31" s="148"/>
      <c r="X31" s="148"/>
      <c r="Y31" s="148"/>
      <c r="Z31" s="148"/>
    </row>
    <row r="32" spans="1:26" s="149" customFormat="1" ht="48.6" customHeight="1">
      <c r="A32" s="145"/>
      <c r="B32" s="146"/>
      <c r="C32" s="146"/>
      <c r="D32" s="147"/>
      <c r="E32" s="183"/>
      <c r="F32" s="184"/>
      <c r="G32" s="184" t="s">
        <v>274</v>
      </c>
      <c r="H32" s="185"/>
      <c r="I32" s="188"/>
      <c r="J32" s="184" t="s">
        <v>136</v>
      </c>
      <c r="K32" s="184"/>
      <c r="L32" s="187"/>
      <c r="M32" s="188"/>
      <c r="N32" s="188"/>
      <c r="O32" s="188"/>
      <c r="P32" s="148"/>
      <c r="Q32" s="148"/>
      <c r="R32" s="148"/>
      <c r="S32" s="148"/>
      <c r="T32" s="148"/>
      <c r="U32" s="148"/>
      <c r="V32" s="148"/>
      <c r="W32" s="148"/>
      <c r="X32" s="148"/>
      <c r="Y32" s="148"/>
      <c r="Z32" s="148"/>
    </row>
    <row r="33" spans="1:26" s="149" customFormat="1" ht="48.6" customHeight="1">
      <c r="A33" s="145"/>
      <c r="B33" s="146"/>
      <c r="C33" s="146"/>
      <c r="D33" s="147"/>
      <c r="E33" s="183"/>
      <c r="F33" s="184"/>
      <c r="G33" s="184" t="s">
        <v>275</v>
      </c>
      <c r="H33" s="185"/>
      <c r="I33" s="188"/>
      <c r="J33" s="184" t="s">
        <v>210</v>
      </c>
      <c r="K33" s="184"/>
      <c r="L33" s="187"/>
      <c r="M33" s="188"/>
      <c r="N33" s="188"/>
      <c r="O33" s="188"/>
      <c r="P33" s="148"/>
      <c r="Q33" s="148"/>
      <c r="R33" s="148"/>
      <c r="S33" s="148"/>
      <c r="T33" s="148"/>
      <c r="U33" s="148"/>
      <c r="V33" s="148"/>
      <c r="W33" s="148"/>
      <c r="X33" s="148"/>
      <c r="Y33" s="148"/>
      <c r="Z33" s="148"/>
    </row>
    <row r="34" spans="1:26" s="149" customFormat="1" ht="49.2" customHeight="1" thickBot="1">
      <c r="A34" s="145"/>
      <c r="B34" s="146"/>
      <c r="C34" s="146"/>
      <c r="D34" s="147"/>
      <c r="E34" s="183"/>
      <c r="F34" s="184"/>
      <c r="G34" s="184" t="s">
        <v>276</v>
      </c>
      <c r="H34" s="185"/>
      <c r="I34" s="188"/>
      <c r="J34" s="184" t="s">
        <v>140</v>
      </c>
      <c r="K34" s="184"/>
      <c r="L34" s="187"/>
      <c r="M34" s="188"/>
      <c r="N34" s="188"/>
      <c r="O34" s="188"/>
      <c r="P34" s="148"/>
      <c r="Q34" s="148"/>
      <c r="R34" s="148"/>
      <c r="S34" s="148"/>
      <c r="T34" s="148"/>
      <c r="U34" s="148"/>
      <c r="V34" s="148"/>
      <c r="W34" s="148"/>
      <c r="X34" s="148"/>
      <c r="Y34" s="148"/>
      <c r="Z34" s="148"/>
    </row>
    <row r="35" spans="1:26" s="149" customFormat="1" ht="27" customHeight="1" thickBot="1">
      <c r="A35" s="150" t="e">
        <f>#REF!</f>
        <v>#REF!</v>
      </c>
      <c r="B35" s="151" t="e">
        <f>#REF!</f>
        <v>#REF!</v>
      </c>
      <c r="C35" s="151">
        <f>$I$5</f>
        <v>0</v>
      </c>
      <c r="D35" s="152">
        <f>$I$7</f>
        <v>0</v>
      </c>
      <c r="E35" s="179"/>
      <c r="F35" s="180" t="s">
        <v>46</v>
      </c>
      <c r="G35" s="181"/>
      <c r="H35" s="181"/>
      <c r="I35" s="181"/>
      <c r="J35" s="182"/>
      <c r="K35" s="182"/>
      <c r="L35" s="181"/>
      <c r="M35" s="181"/>
      <c r="N35" s="181"/>
      <c r="O35" s="181"/>
    </row>
    <row r="36" spans="1:26" ht="22.5" customHeight="1"/>
  </sheetData>
  <sheetProtection formatCells="0" formatColumns="0" formatRows="0" insertRows="0" insertHyperlinks="0" deleteRows="0" sort="0" autoFilter="0" pivotTables="0"/>
  <mergeCells count="19">
    <mergeCell ref="H5:I6"/>
    <mergeCell ref="L5:O5"/>
    <mergeCell ref="L6:O6"/>
    <mergeCell ref="G2:I2"/>
    <mergeCell ref="L2:O2"/>
    <mergeCell ref="G3:I4"/>
    <mergeCell ref="L3:O3"/>
    <mergeCell ref="L4:O4"/>
    <mergeCell ref="G12:G13"/>
    <mergeCell ref="H7:I8"/>
    <mergeCell ref="L7:O7"/>
    <mergeCell ref="E11:F11"/>
    <mergeCell ref="H11:H13"/>
    <mergeCell ref="I11:I13"/>
    <mergeCell ref="J11:J13"/>
    <mergeCell ref="K11:K13"/>
    <mergeCell ref="L11:N11"/>
    <mergeCell ref="O11:O13"/>
    <mergeCell ref="E12:F12"/>
  </mergeCells>
  <hyperlinks>
    <hyperlink ref="I14" r:id="rId1" xr:uid="{00000000-0004-0000-0B00-000000000000}"/>
  </hyperlinks>
  <pageMargins left="0.7" right="0.7" top="0.75" bottom="0.75" header="0.3" footer="0.3"/>
  <pageSetup paperSize="9" orientation="portrait" r:id="rId2"/>
  <headerFooter>
    <oddHeader>&amp;L&amp;G</oddHeader>
    <oddFooter>&amp;LTemplate ID: TP_TE_TestCase_V.2.0.0
Copyright&amp;RFile Name: &amp;F
Page: &amp;P/&amp;N</oddFooter>
  </headerFooter>
  <drawing r:id="rId3"/>
  <legacyDrawing r:id="rId4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8465" r:id="rId6" name="Button 1">
              <controlPr defaultSize="0" print="0" autoFill="0" autoPict="0" macro="[0]!Home">
                <anchor moveWithCells="1" sizeWithCells="1">
                  <from>
                    <xdr:col>6</xdr:col>
                    <xdr:colOff>381000</xdr:colOff>
                    <xdr:row>8</xdr:row>
                    <xdr:rowOff>236220</xdr:rowOff>
                  </from>
                  <to>
                    <xdr:col>6</xdr:col>
                    <xdr:colOff>1219200</xdr:colOff>
                    <xdr:row>9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Z165"/>
  <sheetViews>
    <sheetView showGridLines="0" topLeftCell="E54" workbookViewId="0">
      <selection activeCell="P159" sqref="P159"/>
    </sheetView>
  </sheetViews>
  <sheetFormatPr defaultColWidth="9.28515625" defaultRowHeight="11.4"/>
  <cols>
    <col min="1" max="1" width="11.85546875" style="10" hidden="1" customWidth="1"/>
    <col min="2" max="2" width="14.85546875" style="2" hidden="1" customWidth="1"/>
    <col min="3" max="3" width="17.28515625" style="2" hidden="1" customWidth="1"/>
    <col min="4" max="4" width="18.28515625" style="2" hidden="1" customWidth="1"/>
    <col min="5" max="5" width="8.42578125" style="2" customWidth="1"/>
    <col min="6" max="6" width="25.28515625" style="2" customWidth="1"/>
    <col min="7" max="7" width="39.85546875" style="2" customWidth="1"/>
    <col min="8" max="8" width="13.28515625" style="2" customWidth="1"/>
    <col min="9" max="9" width="18.42578125" style="2" customWidth="1"/>
    <col min="10" max="10" width="23.7109375" style="2" customWidth="1"/>
    <col min="11" max="11" width="35.140625" style="2" customWidth="1"/>
    <col min="12" max="12" width="9.85546875" style="2" customWidth="1"/>
    <col min="13" max="13" width="9.42578125" style="2" customWidth="1"/>
    <col min="14" max="14" width="9.7109375" style="2" customWidth="1"/>
    <col min="15" max="15" width="14.28515625" style="2" customWidth="1"/>
    <col min="16" max="16" width="23.85546875" style="2" customWidth="1"/>
    <col min="17" max="16384" width="9.28515625" style="2"/>
  </cols>
  <sheetData>
    <row r="1" spans="1:26" ht="18.75" customHeight="1" thickBot="1">
      <c r="K1" s="1"/>
      <c r="L1" s="1"/>
      <c r="M1" s="1"/>
      <c r="N1" s="1"/>
    </row>
    <row r="2" spans="1:26" s="1" customFormat="1" ht="33" customHeight="1">
      <c r="A2" s="11"/>
      <c r="E2" s="32" t="s">
        <v>10</v>
      </c>
      <c r="F2" s="33"/>
      <c r="G2" s="491" t="s">
        <v>98</v>
      </c>
      <c r="H2" s="492"/>
      <c r="I2" s="493"/>
      <c r="J2" s="7"/>
      <c r="K2" s="82" t="s">
        <v>22</v>
      </c>
      <c r="L2" s="470" t="s">
        <v>75</v>
      </c>
      <c r="M2" s="471"/>
      <c r="N2" s="471"/>
      <c r="O2" s="472"/>
    </row>
    <row r="3" spans="1:26" s="1" customFormat="1" ht="22.5" customHeight="1">
      <c r="A3" s="11"/>
      <c r="E3" s="34" t="s">
        <v>9</v>
      </c>
      <c r="F3" s="35"/>
      <c r="G3" s="480" t="str">
        <f>VLOOKUP(G2,'Test Case'!F13:G65515,2,TRUE)</f>
        <v>ทดสอบการบันทึกรหัสแบบรุ่นในกรณี Validate ข้อมูล</v>
      </c>
      <c r="H3" s="481"/>
      <c r="I3" s="482"/>
      <c r="J3" s="8"/>
      <c r="K3" s="36" t="s">
        <v>6</v>
      </c>
      <c r="L3" s="473" t="s">
        <v>85</v>
      </c>
      <c r="M3" s="474"/>
      <c r="N3" s="474"/>
      <c r="O3" s="475"/>
    </row>
    <row r="4" spans="1:26" s="1" customFormat="1" ht="23.25" customHeight="1" thickBot="1">
      <c r="A4" s="11"/>
      <c r="E4" s="34"/>
      <c r="F4" s="35"/>
      <c r="G4" s="483"/>
      <c r="H4" s="484"/>
      <c r="I4" s="485"/>
      <c r="J4" s="8"/>
      <c r="K4" s="36" t="s">
        <v>11</v>
      </c>
      <c r="L4" s="476" t="s">
        <v>69</v>
      </c>
      <c r="M4" s="477"/>
      <c r="N4" s="477"/>
      <c r="O4" s="478"/>
    </row>
    <row r="5" spans="1:26" s="1" customFormat="1" ht="22.5" customHeight="1">
      <c r="A5" s="11"/>
      <c r="E5" s="130"/>
      <c r="F5" s="131"/>
      <c r="G5" s="128"/>
      <c r="H5" s="494"/>
      <c r="I5" s="494"/>
      <c r="J5" s="5"/>
      <c r="K5" s="36" t="s">
        <v>4</v>
      </c>
      <c r="L5" s="476" t="s">
        <v>76</v>
      </c>
      <c r="M5" s="477"/>
      <c r="N5" s="477"/>
      <c r="O5" s="478"/>
    </row>
    <row r="6" spans="1:26" s="1" customFormat="1" ht="22.5" customHeight="1">
      <c r="A6" s="11"/>
      <c r="E6" s="130"/>
      <c r="F6" s="131"/>
      <c r="G6" s="129"/>
      <c r="H6" s="494"/>
      <c r="I6" s="494"/>
      <c r="J6" s="5"/>
      <c r="K6" s="36" t="s">
        <v>55</v>
      </c>
      <c r="L6" s="479">
        <v>43330</v>
      </c>
      <c r="M6" s="477"/>
      <c r="N6" s="477"/>
      <c r="O6" s="478"/>
    </row>
    <row r="7" spans="1:26" s="1" customFormat="1" ht="22.5" customHeight="1" thickBot="1">
      <c r="A7" s="11"/>
      <c r="E7" s="130"/>
      <c r="F7" s="131"/>
      <c r="G7" s="128"/>
      <c r="H7" s="506"/>
      <c r="I7" s="507"/>
      <c r="J7" s="5"/>
      <c r="K7" s="37" t="s">
        <v>54</v>
      </c>
      <c r="L7" s="510">
        <f>G11</f>
        <v>149</v>
      </c>
      <c r="M7" s="511"/>
      <c r="N7" s="511"/>
      <c r="O7" s="512"/>
    </row>
    <row r="8" spans="1:26" s="1" customFormat="1" ht="22.5" customHeight="1">
      <c r="A8" s="11"/>
      <c r="E8" s="130"/>
      <c r="F8" s="131"/>
      <c r="G8" s="129"/>
      <c r="H8" s="507"/>
      <c r="I8" s="507"/>
      <c r="J8" s="5"/>
      <c r="K8"/>
      <c r="N8" s="9"/>
    </row>
    <row r="9" spans="1:26" s="1" customFormat="1" ht="22.5" customHeight="1">
      <c r="A9" s="11"/>
      <c r="H9" s="2"/>
      <c r="I9" s="2"/>
      <c r="J9" s="5"/>
      <c r="K9"/>
      <c r="M9" s="2"/>
      <c r="N9" s="9"/>
    </row>
    <row r="10" spans="1:26" s="1" customFormat="1" ht="29.25" customHeight="1" thickBot="1">
      <c r="A10" s="11"/>
      <c r="J10" s="5"/>
      <c r="K10" s="2"/>
      <c r="L10" s="2"/>
      <c r="M10" s="4"/>
      <c r="N10" s="4"/>
      <c r="O10" s="4"/>
    </row>
    <row r="11" spans="1:26" s="1" customFormat="1" ht="29.25" customHeight="1">
      <c r="A11" s="89"/>
      <c r="B11" s="90"/>
      <c r="C11" s="90"/>
      <c r="D11" s="90"/>
      <c r="E11" s="508" t="s">
        <v>45</v>
      </c>
      <c r="F11" s="509"/>
      <c r="G11" s="93">
        <f>COUNTA(G14:G504)</f>
        <v>149</v>
      </c>
      <c r="H11" s="488" t="s">
        <v>51</v>
      </c>
      <c r="I11" s="488" t="s">
        <v>5</v>
      </c>
      <c r="J11" s="488" t="s">
        <v>3</v>
      </c>
      <c r="K11" s="498" t="s">
        <v>13</v>
      </c>
      <c r="L11" s="501" t="s">
        <v>48</v>
      </c>
      <c r="M11" s="502"/>
      <c r="N11" s="503"/>
      <c r="O11" s="495" t="s">
        <v>52</v>
      </c>
      <c r="P11" s="3"/>
    </row>
    <row r="12" spans="1:26" s="1" customFormat="1" ht="16.5" customHeight="1" thickBot="1">
      <c r="A12" s="91"/>
      <c r="B12" s="92" t="s">
        <v>85</v>
      </c>
      <c r="C12" s="92"/>
      <c r="D12" s="92"/>
      <c r="E12" s="504">
        <f>COUNTA(E14:E504)</f>
        <v>11</v>
      </c>
      <c r="F12" s="505"/>
      <c r="G12" s="486" t="s">
        <v>44</v>
      </c>
      <c r="H12" s="489"/>
      <c r="I12" s="489"/>
      <c r="J12" s="489"/>
      <c r="K12" s="499"/>
      <c r="L12" s="94">
        <f>COUNTA(L14:L504)</f>
        <v>0</v>
      </c>
      <c r="M12" s="95">
        <f>COUNTA(M14:M504)</f>
        <v>0</v>
      </c>
      <c r="N12" s="96">
        <f>COUNTA(N14:N504)</f>
        <v>0</v>
      </c>
      <c r="O12" s="496"/>
      <c r="P12" s="3"/>
    </row>
    <row r="13" spans="1:26" s="1" customFormat="1" ht="22.5" customHeight="1" thickBot="1">
      <c r="A13" s="23" t="s">
        <v>7</v>
      </c>
      <c r="B13" s="24" t="s">
        <v>18</v>
      </c>
      <c r="C13" s="25" t="s">
        <v>19</v>
      </c>
      <c r="D13" s="25" t="s">
        <v>17</v>
      </c>
      <c r="E13" s="175" t="s">
        <v>43</v>
      </c>
      <c r="F13" s="134" t="s">
        <v>12</v>
      </c>
      <c r="G13" s="486"/>
      <c r="H13" s="489"/>
      <c r="I13" s="489"/>
      <c r="J13" s="489"/>
      <c r="K13" s="499"/>
      <c r="L13" s="176" t="s">
        <v>42</v>
      </c>
      <c r="M13" s="177" t="s">
        <v>47</v>
      </c>
      <c r="N13" s="178" t="s">
        <v>53</v>
      </c>
      <c r="O13" s="496"/>
      <c r="P13" s="3"/>
    </row>
    <row r="14" spans="1:26" s="6" customFormat="1" ht="27" customHeight="1">
      <c r="A14" s="13"/>
      <c r="B14" s="12"/>
      <c r="C14" s="12"/>
      <c r="D14" s="14"/>
      <c r="E14" s="190">
        <v>1</v>
      </c>
      <c r="F14" s="191" t="s">
        <v>277</v>
      </c>
      <c r="G14" s="191" t="s">
        <v>242</v>
      </c>
      <c r="H14" s="192"/>
      <c r="I14" s="193" t="s">
        <v>243</v>
      </c>
      <c r="J14" s="191" t="s">
        <v>244</v>
      </c>
      <c r="K14" s="195"/>
      <c r="L14" s="194"/>
      <c r="M14" s="194"/>
      <c r="N14" s="194"/>
      <c r="O14" s="194"/>
      <c r="P14" s="198"/>
      <c r="Q14" s="198"/>
      <c r="R14" s="198"/>
      <c r="S14" s="198"/>
      <c r="T14" s="198"/>
      <c r="U14" s="198"/>
      <c r="V14" s="198"/>
      <c r="W14" s="198"/>
      <c r="X14" s="198"/>
      <c r="Y14" s="198"/>
      <c r="Z14" s="198"/>
    </row>
    <row r="15" spans="1:26" s="6" customFormat="1" ht="27" customHeight="1">
      <c r="A15" s="13" t="e">
        <f>#REF!</f>
        <v>#REF!</v>
      </c>
      <c r="B15" s="12" t="e">
        <f>#REF!</f>
        <v>#REF!</v>
      </c>
      <c r="C15" s="12">
        <f t="shared" ref="C15:C44" si="0">$I$5</f>
        <v>0</v>
      </c>
      <c r="D15" s="14">
        <f t="shared" ref="D15:D44" si="1">$I$7</f>
        <v>0</v>
      </c>
      <c r="E15" s="190">
        <v>2</v>
      </c>
      <c r="F15" s="191" t="s">
        <v>278</v>
      </c>
      <c r="G15" s="191" t="s">
        <v>279</v>
      </c>
      <c r="H15" s="192"/>
      <c r="I15" s="195"/>
      <c r="J15" s="191" t="s">
        <v>280</v>
      </c>
      <c r="K15" s="195"/>
      <c r="L15" s="194"/>
      <c r="M15" s="194"/>
      <c r="N15" s="194"/>
      <c r="O15" s="194"/>
      <c r="P15" s="198"/>
      <c r="Q15" s="198"/>
      <c r="R15" s="198"/>
      <c r="S15" s="198"/>
      <c r="T15" s="198"/>
      <c r="U15" s="198"/>
      <c r="V15" s="198"/>
      <c r="W15" s="198"/>
      <c r="X15" s="198"/>
      <c r="Y15" s="198"/>
      <c r="Z15" s="198"/>
    </row>
    <row r="16" spans="1:26" s="6" customFormat="1" ht="27" customHeight="1">
      <c r="A16" s="13"/>
      <c r="B16" s="12"/>
      <c r="C16" s="12"/>
      <c r="D16" s="14"/>
      <c r="E16" s="196"/>
      <c r="F16" s="195"/>
      <c r="G16" s="191" t="s">
        <v>281</v>
      </c>
      <c r="H16" s="192"/>
      <c r="I16" s="195"/>
      <c r="J16" s="195" t="s">
        <v>282</v>
      </c>
      <c r="K16" s="195"/>
      <c r="L16" s="194"/>
      <c r="M16" s="194"/>
      <c r="N16" s="194"/>
      <c r="O16" s="194"/>
      <c r="P16" s="198"/>
      <c r="Q16" s="198"/>
      <c r="R16" s="198"/>
      <c r="S16" s="198"/>
      <c r="T16" s="198"/>
      <c r="U16" s="198"/>
      <c r="V16" s="198"/>
      <c r="W16" s="198"/>
      <c r="X16" s="198"/>
      <c r="Y16" s="198"/>
      <c r="Z16" s="198"/>
    </row>
    <row r="17" spans="1:26" s="6" customFormat="1" ht="27" customHeight="1">
      <c r="A17" s="13" t="e">
        <f>#REF!</f>
        <v>#REF!</v>
      </c>
      <c r="B17" s="12" t="e">
        <f>#REF!</f>
        <v>#REF!</v>
      </c>
      <c r="C17" s="12">
        <f t="shared" si="0"/>
        <v>0</v>
      </c>
      <c r="D17" s="14">
        <f t="shared" si="1"/>
        <v>0</v>
      </c>
      <c r="E17" s="196"/>
      <c r="F17" s="195"/>
      <c r="G17" s="191" t="s">
        <v>283</v>
      </c>
      <c r="H17" s="192"/>
      <c r="I17" s="195"/>
      <c r="J17" s="195" t="s">
        <v>284</v>
      </c>
      <c r="K17" s="195"/>
      <c r="L17" s="194"/>
      <c r="M17" s="194"/>
      <c r="N17" s="194"/>
      <c r="O17" s="194"/>
      <c r="P17" s="198"/>
      <c r="Q17" s="198"/>
      <c r="R17" s="198"/>
      <c r="S17" s="198"/>
      <c r="T17" s="198"/>
      <c r="U17" s="198"/>
      <c r="V17" s="198"/>
      <c r="W17" s="198"/>
      <c r="X17" s="198"/>
      <c r="Y17" s="198"/>
      <c r="Z17" s="198"/>
    </row>
    <row r="18" spans="1:26" s="6" customFormat="1" ht="27" customHeight="1">
      <c r="A18" s="13" t="e">
        <f>#REF!</f>
        <v>#REF!</v>
      </c>
      <c r="B18" s="12" t="e">
        <f>#REF!</f>
        <v>#REF!</v>
      </c>
      <c r="C18" s="12">
        <f t="shared" si="0"/>
        <v>0</v>
      </c>
      <c r="D18" s="14">
        <f t="shared" si="1"/>
        <v>0</v>
      </c>
      <c r="E18" s="190"/>
      <c r="F18" s="195"/>
      <c r="G18" s="191" t="s">
        <v>285</v>
      </c>
      <c r="H18" s="192"/>
      <c r="I18" s="195"/>
      <c r="J18" s="191" t="s">
        <v>280</v>
      </c>
      <c r="K18" s="195"/>
      <c r="L18" s="194"/>
      <c r="M18" s="194"/>
      <c r="N18" s="194"/>
      <c r="O18" s="194"/>
      <c r="P18" s="198"/>
      <c r="Q18" s="198"/>
      <c r="R18" s="198"/>
      <c r="S18" s="198"/>
      <c r="T18" s="198"/>
      <c r="U18" s="198"/>
      <c r="V18" s="198"/>
      <c r="W18" s="198"/>
      <c r="X18" s="198"/>
      <c r="Y18" s="198"/>
      <c r="Z18" s="198"/>
    </row>
    <row r="19" spans="1:26" s="6" customFormat="1" ht="27" customHeight="1">
      <c r="A19" s="13" t="e">
        <f>#REF!</f>
        <v>#REF!</v>
      </c>
      <c r="B19" s="12" t="e">
        <f>#REF!</f>
        <v>#REF!</v>
      </c>
      <c r="C19" s="12">
        <f t="shared" si="0"/>
        <v>0</v>
      </c>
      <c r="D19" s="14">
        <f t="shared" si="1"/>
        <v>0</v>
      </c>
      <c r="E19" s="190"/>
      <c r="F19" s="195"/>
      <c r="G19" s="195" t="s">
        <v>286</v>
      </c>
      <c r="H19" s="192"/>
      <c r="I19" s="195"/>
      <c r="J19" s="195" t="s">
        <v>282</v>
      </c>
      <c r="K19" s="195"/>
      <c r="L19" s="194"/>
      <c r="M19" s="194"/>
      <c r="N19" s="194"/>
      <c r="O19" s="194"/>
      <c r="P19" s="198"/>
      <c r="Q19" s="198"/>
      <c r="R19" s="198"/>
      <c r="S19" s="198"/>
      <c r="T19" s="198"/>
      <c r="U19" s="198"/>
      <c r="V19" s="198"/>
      <c r="W19" s="198"/>
      <c r="X19" s="198"/>
      <c r="Y19" s="198"/>
      <c r="Z19" s="198"/>
    </row>
    <row r="20" spans="1:26" s="6" customFormat="1" ht="27" customHeight="1">
      <c r="A20" s="13" t="e">
        <f>#REF!</f>
        <v>#REF!</v>
      </c>
      <c r="B20" s="12" t="e">
        <f>#REF!</f>
        <v>#REF!</v>
      </c>
      <c r="C20" s="12">
        <f t="shared" si="0"/>
        <v>0</v>
      </c>
      <c r="D20" s="14">
        <f t="shared" si="1"/>
        <v>0</v>
      </c>
      <c r="E20" s="190"/>
      <c r="F20" s="195"/>
      <c r="G20" s="191" t="s">
        <v>287</v>
      </c>
      <c r="H20" s="192"/>
      <c r="I20" s="195"/>
      <c r="J20" s="195" t="s">
        <v>288</v>
      </c>
      <c r="K20" s="195"/>
      <c r="L20" s="194"/>
      <c r="M20" s="194"/>
      <c r="N20" s="194"/>
      <c r="O20" s="194"/>
      <c r="P20" s="198"/>
      <c r="Q20" s="198"/>
      <c r="R20" s="198"/>
      <c r="S20" s="198"/>
      <c r="T20" s="198"/>
      <c r="U20" s="198"/>
      <c r="V20" s="198"/>
      <c r="W20" s="198"/>
      <c r="X20" s="198"/>
      <c r="Y20" s="198"/>
      <c r="Z20" s="198"/>
    </row>
    <row r="21" spans="1:26" s="6" customFormat="1" ht="27" customHeight="1">
      <c r="A21" s="13" t="e">
        <f>#REF!</f>
        <v>#REF!</v>
      </c>
      <c r="B21" s="12" t="e">
        <f>#REF!</f>
        <v>#REF!</v>
      </c>
      <c r="C21" s="12">
        <f t="shared" si="0"/>
        <v>0</v>
      </c>
      <c r="D21" s="14">
        <f t="shared" si="1"/>
        <v>0</v>
      </c>
      <c r="E21" s="190"/>
      <c r="F21" s="195"/>
      <c r="G21" s="195" t="s">
        <v>289</v>
      </c>
      <c r="H21" s="192"/>
      <c r="I21" s="195"/>
      <c r="J21" s="195" t="s">
        <v>282</v>
      </c>
      <c r="K21" s="195"/>
      <c r="L21" s="194"/>
      <c r="M21" s="194"/>
      <c r="N21" s="194"/>
      <c r="O21" s="194"/>
      <c r="P21" s="198"/>
      <c r="Q21" s="198"/>
      <c r="R21" s="198"/>
      <c r="S21" s="198"/>
      <c r="T21" s="198"/>
      <c r="U21" s="198"/>
      <c r="V21" s="198"/>
      <c r="W21" s="198"/>
      <c r="X21" s="198"/>
      <c r="Y21" s="198"/>
      <c r="Z21" s="198"/>
    </row>
    <row r="22" spans="1:26" s="6" customFormat="1" ht="27" customHeight="1">
      <c r="A22" s="13" t="e">
        <f>#REF!</f>
        <v>#REF!</v>
      </c>
      <c r="B22" s="12" t="e">
        <f>#REF!</f>
        <v>#REF!</v>
      </c>
      <c r="C22" s="12">
        <f t="shared" si="0"/>
        <v>0</v>
      </c>
      <c r="D22" s="14">
        <f t="shared" si="1"/>
        <v>0</v>
      </c>
      <c r="E22" s="190"/>
      <c r="F22" s="195"/>
      <c r="G22" s="195" t="s">
        <v>290</v>
      </c>
      <c r="H22" s="192"/>
      <c r="I22" s="195"/>
      <c r="J22" s="195" t="s">
        <v>291</v>
      </c>
      <c r="K22" s="195"/>
      <c r="L22" s="194"/>
      <c r="M22" s="194"/>
      <c r="N22" s="194"/>
      <c r="O22" s="194"/>
      <c r="P22" s="198"/>
      <c r="Q22" s="198"/>
      <c r="R22" s="198"/>
      <c r="S22" s="198"/>
      <c r="T22" s="198"/>
      <c r="U22" s="198"/>
      <c r="V22" s="198"/>
      <c r="W22" s="198"/>
      <c r="X22" s="198"/>
      <c r="Y22" s="198"/>
      <c r="Z22" s="198"/>
    </row>
    <row r="23" spans="1:26" s="6" customFormat="1" ht="27" customHeight="1">
      <c r="A23" s="13" t="e">
        <f>#REF!</f>
        <v>#REF!</v>
      </c>
      <c r="B23" s="12" t="e">
        <f>#REF!</f>
        <v>#REF!</v>
      </c>
      <c r="C23" s="12">
        <f t="shared" si="0"/>
        <v>0</v>
      </c>
      <c r="D23" s="14">
        <f t="shared" si="1"/>
        <v>0</v>
      </c>
      <c r="E23" s="190"/>
      <c r="F23" s="195"/>
      <c r="G23" s="195" t="s">
        <v>292</v>
      </c>
      <c r="H23" s="192"/>
      <c r="I23" s="195"/>
      <c r="J23" s="195" t="s">
        <v>282</v>
      </c>
      <c r="K23" s="195"/>
      <c r="L23" s="194"/>
      <c r="M23" s="194"/>
      <c r="N23" s="194"/>
      <c r="O23" s="194"/>
      <c r="P23" s="198"/>
      <c r="Q23" s="198"/>
      <c r="R23" s="198"/>
      <c r="S23" s="198"/>
      <c r="T23" s="198"/>
      <c r="U23" s="198"/>
      <c r="V23" s="198"/>
      <c r="W23" s="198"/>
      <c r="X23" s="198"/>
      <c r="Y23" s="198"/>
      <c r="Z23" s="198"/>
    </row>
    <row r="24" spans="1:26" s="6" customFormat="1" ht="27" customHeight="1">
      <c r="A24" s="13" t="e">
        <f>#REF!</f>
        <v>#REF!</v>
      </c>
      <c r="B24" s="12" t="e">
        <f>#REF!</f>
        <v>#REF!</v>
      </c>
      <c r="C24" s="12">
        <f t="shared" si="0"/>
        <v>0</v>
      </c>
      <c r="D24" s="14">
        <f t="shared" si="1"/>
        <v>0</v>
      </c>
      <c r="E24" s="190"/>
      <c r="F24" s="195"/>
      <c r="G24" s="191" t="s">
        <v>293</v>
      </c>
      <c r="H24" s="192"/>
      <c r="I24" s="195"/>
      <c r="J24" s="191" t="s">
        <v>294</v>
      </c>
      <c r="K24" s="195"/>
      <c r="L24" s="194"/>
      <c r="M24" s="194"/>
      <c r="N24" s="194"/>
      <c r="O24" s="194"/>
      <c r="P24" s="198"/>
      <c r="Q24" s="198"/>
      <c r="R24" s="198"/>
      <c r="S24" s="198"/>
      <c r="T24" s="198"/>
      <c r="U24" s="198"/>
      <c r="V24" s="198"/>
      <c r="W24" s="198"/>
      <c r="X24" s="198"/>
      <c r="Y24" s="198"/>
      <c r="Z24" s="198"/>
    </row>
    <row r="25" spans="1:26" s="6" customFormat="1" ht="27" customHeight="1">
      <c r="A25" s="13" t="e">
        <f>#REF!</f>
        <v>#REF!</v>
      </c>
      <c r="B25" s="12" t="e">
        <f>#REF!</f>
        <v>#REF!</v>
      </c>
      <c r="C25" s="12">
        <f t="shared" si="0"/>
        <v>0</v>
      </c>
      <c r="D25" s="14">
        <f t="shared" si="1"/>
        <v>0</v>
      </c>
      <c r="E25" s="190"/>
      <c r="F25" s="195"/>
      <c r="G25" s="191" t="s">
        <v>295</v>
      </c>
      <c r="H25" s="192"/>
      <c r="I25" s="195"/>
      <c r="J25" s="195" t="s">
        <v>296</v>
      </c>
      <c r="K25" s="195"/>
      <c r="L25" s="194"/>
      <c r="M25" s="194"/>
      <c r="N25" s="194"/>
      <c r="O25" s="194"/>
      <c r="P25" s="198"/>
      <c r="Q25" s="198"/>
      <c r="R25" s="198"/>
      <c r="S25" s="198"/>
      <c r="T25" s="198"/>
      <c r="U25" s="198"/>
      <c r="V25" s="198"/>
      <c r="W25" s="198"/>
      <c r="X25" s="198"/>
      <c r="Y25" s="198"/>
      <c r="Z25" s="198"/>
    </row>
    <row r="26" spans="1:26" s="6" customFormat="1" ht="27" customHeight="1">
      <c r="A26" s="13" t="e">
        <f>#REF!</f>
        <v>#REF!</v>
      </c>
      <c r="B26" s="12" t="e">
        <f>#REF!</f>
        <v>#REF!</v>
      </c>
      <c r="C26" s="12">
        <f t="shared" si="0"/>
        <v>0</v>
      </c>
      <c r="D26" s="14">
        <f t="shared" si="1"/>
        <v>0</v>
      </c>
      <c r="E26" s="190">
        <v>3</v>
      </c>
      <c r="F26" s="191" t="s">
        <v>297</v>
      </c>
      <c r="G26" s="191" t="s">
        <v>298</v>
      </c>
      <c r="H26" s="192"/>
      <c r="I26" s="195"/>
      <c r="J26" s="195" t="s">
        <v>299</v>
      </c>
      <c r="K26" s="195"/>
      <c r="L26" s="194"/>
      <c r="M26" s="194"/>
      <c r="N26" s="194"/>
      <c r="O26" s="194"/>
      <c r="P26" s="198"/>
      <c r="Q26" s="198"/>
      <c r="R26" s="198"/>
      <c r="S26" s="198"/>
      <c r="T26" s="198"/>
      <c r="U26" s="198"/>
      <c r="V26" s="198"/>
      <c r="W26" s="198"/>
      <c r="X26" s="198"/>
      <c r="Y26" s="198"/>
      <c r="Z26" s="198"/>
    </row>
    <row r="27" spans="1:26" s="6" customFormat="1" ht="27" customHeight="1">
      <c r="A27" s="13" t="e">
        <f>#REF!</f>
        <v>#REF!</v>
      </c>
      <c r="B27" s="12" t="e">
        <f>#REF!</f>
        <v>#REF!</v>
      </c>
      <c r="C27" s="12">
        <f t="shared" si="0"/>
        <v>0</v>
      </c>
      <c r="D27" s="14">
        <f t="shared" si="1"/>
        <v>0</v>
      </c>
      <c r="E27" s="196"/>
      <c r="F27" s="195"/>
      <c r="G27" s="191" t="s">
        <v>300</v>
      </c>
      <c r="H27" s="192"/>
      <c r="I27" s="195"/>
      <c r="J27" s="195" t="s">
        <v>301</v>
      </c>
      <c r="K27" s="195"/>
      <c r="L27" s="194"/>
      <c r="M27" s="194"/>
      <c r="N27" s="194"/>
      <c r="O27" s="194"/>
      <c r="P27" s="198"/>
      <c r="Q27" s="198"/>
      <c r="R27" s="198"/>
      <c r="S27" s="198"/>
      <c r="T27" s="198"/>
      <c r="U27" s="198"/>
      <c r="V27" s="198"/>
      <c r="W27" s="198"/>
      <c r="X27" s="198"/>
      <c r="Y27" s="198"/>
      <c r="Z27" s="198"/>
    </row>
    <row r="28" spans="1:26" s="6" customFormat="1" ht="27" customHeight="1">
      <c r="A28" s="13" t="e">
        <f>#REF!</f>
        <v>#REF!</v>
      </c>
      <c r="B28" s="12" t="e">
        <f>#REF!</f>
        <v>#REF!</v>
      </c>
      <c r="C28" s="12">
        <f t="shared" si="0"/>
        <v>0</v>
      </c>
      <c r="D28" s="14">
        <f t="shared" si="1"/>
        <v>0</v>
      </c>
      <c r="E28" s="196"/>
      <c r="F28" s="195"/>
      <c r="G28" s="191" t="s">
        <v>302</v>
      </c>
      <c r="H28" s="192"/>
      <c r="I28" s="191" t="s">
        <v>303</v>
      </c>
      <c r="J28" s="195" t="s">
        <v>304</v>
      </c>
      <c r="K28" s="195"/>
      <c r="L28" s="194"/>
      <c r="M28" s="194"/>
      <c r="N28" s="194"/>
      <c r="O28" s="194"/>
      <c r="P28" s="198"/>
      <c r="Q28" s="198"/>
      <c r="R28" s="198"/>
      <c r="S28" s="198"/>
      <c r="T28" s="198"/>
      <c r="U28" s="198"/>
      <c r="V28" s="198"/>
      <c r="W28" s="198"/>
      <c r="X28" s="198"/>
      <c r="Y28" s="198"/>
      <c r="Z28" s="198"/>
    </row>
    <row r="29" spans="1:26" s="6" customFormat="1" ht="27" customHeight="1">
      <c r="A29" s="13" t="e">
        <f>#REF!</f>
        <v>#REF!</v>
      </c>
      <c r="B29" s="12" t="e">
        <f>#REF!</f>
        <v>#REF!</v>
      </c>
      <c r="C29" s="12">
        <f t="shared" si="0"/>
        <v>0</v>
      </c>
      <c r="D29" s="14">
        <f t="shared" si="1"/>
        <v>0</v>
      </c>
      <c r="E29" s="196"/>
      <c r="F29" s="195"/>
      <c r="G29" s="191" t="s">
        <v>305</v>
      </c>
      <c r="H29" s="192"/>
      <c r="I29" s="195"/>
      <c r="J29" s="195" t="s">
        <v>304</v>
      </c>
      <c r="K29" s="195"/>
      <c r="L29" s="194"/>
      <c r="M29" s="194"/>
      <c r="N29" s="194"/>
      <c r="O29" s="194"/>
      <c r="P29" s="198"/>
      <c r="Q29" s="198"/>
      <c r="R29" s="198"/>
      <c r="S29" s="198"/>
      <c r="T29" s="198"/>
      <c r="U29" s="198"/>
      <c r="V29" s="198"/>
      <c r="W29" s="198"/>
      <c r="X29" s="198"/>
      <c r="Y29" s="198"/>
      <c r="Z29" s="198"/>
    </row>
    <row r="30" spans="1:26" s="6" customFormat="1" ht="27" customHeight="1">
      <c r="A30" s="13" t="e">
        <f>#REF!</f>
        <v>#REF!</v>
      </c>
      <c r="B30" s="12" t="e">
        <f>#REF!</f>
        <v>#REF!</v>
      </c>
      <c r="C30" s="12">
        <f t="shared" si="0"/>
        <v>0</v>
      </c>
      <c r="D30" s="14">
        <f t="shared" si="1"/>
        <v>0</v>
      </c>
      <c r="E30" s="196"/>
      <c r="F30" s="195"/>
      <c r="G30" s="191" t="s">
        <v>306</v>
      </c>
      <c r="H30" s="192"/>
      <c r="I30" s="191">
        <v>201</v>
      </c>
      <c r="J30" s="195" t="s">
        <v>304</v>
      </c>
      <c r="K30" s="195"/>
      <c r="L30" s="194"/>
      <c r="M30" s="194"/>
      <c r="N30" s="194"/>
      <c r="O30" s="194"/>
      <c r="P30" s="198"/>
      <c r="Q30" s="198"/>
      <c r="R30" s="198"/>
      <c r="S30" s="198"/>
      <c r="T30" s="198"/>
      <c r="U30" s="198"/>
      <c r="V30" s="198"/>
      <c r="W30" s="198"/>
      <c r="X30" s="198"/>
      <c r="Y30" s="198"/>
      <c r="Z30" s="198"/>
    </row>
    <row r="31" spans="1:26" s="6" customFormat="1" ht="27" customHeight="1">
      <c r="A31" s="13" t="e">
        <f>#REF!</f>
        <v>#REF!</v>
      </c>
      <c r="B31" s="12" t="e">
        <f>#REF!</f>
        <v>#REF!</v>
      </c>
      <c r="C31" s="12">
        <f t="shared" si="0"/>
        <v>0</v>
      </c>
      <c r="D31" s="14">
        <f t="shared" si="1"/>
        <v>0</v>
      </c>
      <c r="E31" s="196"/>
      <c r="F31" s="195"/>
      <c r="G31" s="191" t="s">
        <v>307</v>
      </c>
      <c r="H31" s="192"/>
      <c r="I31" s="191" t="s">
        <v>308</v>
      </c>
      <c r="J31" s="195" t="s">
        <v>304</v>
      </c>
      <c r="K31" s="195"/>
      <c r="L31" s="194"/>
      <c r="M31" s="194"/>
      <c r="N31" s="194"/>
      <c r="O31" s="194"/>
      <c r="P31" s="198"/>
      <c r="Q31" s="198"/>
      <c r="R31" s="198"/>
      <c r="S31" s="198"/>
      <c r="T31" s="198"/>
      <c r="U31" s="198"/>
      <c r="V31" s="198"/>
      <c r="W31" s="198"/>
      <c r="X31" s="198"/>
      <c r="Y31" s="198"/>
      <c r="Z31" s="198"/>
    </row>
    <row r="32" spans="1:26" s="6" customFormat="1" ht="27" customHeight="1">
      <c r="A32" s="13" t="e">
        <f>#REF!</f>
        <v>#REF!</v>
      </c>
      <c r="B32" s="12" t="e">
        <f>#REF!</f>
        <v>#REF!</v>
      </c>
      <c r="C32" s="12">
        <f t="shared" si="0"/>
        <v>0</v>
      </c>
      <c r="D32" s="14">
        <f t="shared" si="1"/>
        <v>0</v>
      </c>
      <c r="E32" s="196"/>
      <c r="F32" s="195"/>
      <c r="G32" s="191" t="s">
        <v>309</v>
      </c>
      <c r="H32" s="192"/>
      <c r="I32" s="195"/>
      <c r="J32" s="195" t="s">
        <v>304</v>
      </c>
      <c r="K32" s="195"/>
      <c r="L32" s="194"/>
      <c r="M32" s="194"/>
      <c r="N32" s="194"/>
      <c r="O32" s="194"/>
      <c r="P32" s="198"/>
      <c r="Q32" s="198"/>
      <c r="R32" s="198"/>
      <c r="S32" s="198"/>
      <c r="T32" s="198"/>
      <c r="U32" s="198"/>
      <c r="V32" s="198"/>
      <c r="W32" s="198"/>
      <c r="X32" s="198"/>
      <c r="Y32" s="198"/>
      <c r="Z32" s="198"/>
    </row>
    <row r="33" spans="1:26" s="6" customFormat="1" ht="27" customHeight="1">
      <c r="A33" s="13" t="e">
        <f>#REF!</f>
        <v>#REF!</v>
      </c>
      <c r="B33" s="12" t="e">
        <f>#REF!</f>
        <v>#REF!</v>
      </c>
      <c r="C33" s="12">
        <f t="shared" si="0"/>
        <v>0</v>
      </c>
      <c r="D33" s="14">
        <f t="shared" si="1"/>
        <v>0</v>
      </c>
      <c r="E33" s="196"/>
      <c r="F33" s="195"/>
      <c r="G33" s="191" t="s">
        <v>310</v>
      </c>
      <c r="H33" s="192"/>
      <c r="I33" s="191" t="s">
        <v>311</v>
      </c>
      <c r="J33" s="195" t="s">
        <v>304</v>
      </c>
      <c r="K33" s="195"/>
      <c r="L33" s="194"/>
      <c r="M33" s="194"/>
      <c r="N33" s="194"/>
      <c r="O33" s="194"/>
      <c r="P33" s="198"/>
      <c r="Q33" s="198"/>
      <c r="R33" s="198"/>
      <c r="S33" s="198"/>
      <c r="T33" s="198"/>
      <c r="U33" s="198"/>
      <c r="V33" s="198"/>
      <c r="W33" s="198"/>
      <c r="X33" s="198"/>
      <c r="Y33" s="198"/>
      <c r="Z33" s="198"/>
    </row>
    <row r="34" spans="1:26" s="6" customFormat="1" ht="27" customHeight="1">
      <c r="A34" s="13" t="e">
        <f>#REF!</f>
        <v>#REF!</v>
      </c>
      <c r="B34" s="12" t="e">
        <f>#REF!</f>
        <v>#REF!</v>
      </c>
      <c r="C34" s="12">
        <f t="shared" si="0"/>
        <v>0</v>
      </c>
      <c r="D34" s="14">
        <f t="shared" si="1"/>
        <v>0</v>
      </c>
      <c r="E34" s="196"/>
      <c r="F34" s="195"/>
      <c r="G34" s="191" t="s">
        <v>312</v>
      </c>
      <c r="H34" s="192"/>
      <c r="I34" s="191" t="s">
        <v>313</v>
      </c>
      <c r="J34" s="195" t="s">
        <v>314</v>
      </c>
      <c r="K34" s="195"/>
      <c r="L34" s="194"/>
      <c r="M34" s="194"/>
      <c r="N34" s="194"/>
      <c r="O34" s="194"/>
      <c r="P34" s="198"/>
      <c r="Q34" s="198"/>
      <c r="R34" s="198"/>
      <c r="S34" s="198"/>
      <c r="T34" s="198"/>
      <c r="U34" s="198"/>
      <c r="V34" s="198"/>
      <c r="W34" s="198"/>
      <c r="X34" s="198"/>
      <c r="Y34" s="198"/>
      <c r="Z34" s="198"/>
    </row>
    <row r="35" spans="1:26" s="6" customFormat="1" ht="27" customHeight="1">
      <c r="A35" s="13" t="e">
        <f>#REF!</f>
        <v>#REF!</v>
      </c>
      <c r="B35" s="12" t="e">
        <f>#REF!</f>
        <v>#REF!</v>
      </c>
      <c r="C35" s="12">
        <f t="shared" si="0"/>
        <v>0</v>
      </c>
      <c r="D35" s="14">
        <f t="shared" si="1"/>
        <v>0</v>
      </c>
      <c r="E35" s="196"/>
      <c r="F35" s="195"/>
      <c r="G35" s="191" t="s">
        <v>315</v>
      </c>
      <c r="H35" s="192"/>
      <c r="I35" s="195"/>
      <c r="J35" s="195" t="s">
        <v>316</v>
      </c>
      <c r="K35" s="195"/>
      <c r="L35" s="194"/>
      <c r="M35" s="194"/>
      <c r="N35" s="194"/>
      <c r="O35" s="194"/>
      <c r="P35" s="198"/>
      <c r="Q35" s="198"/>
      <c r="R35" s="198"/>
      <c r="S35" s="198"/>
      <c r="T35" s="198"/>
      <c r="U35" s="198"/>
      <c r="V35" s="198"/>
      <c r="W35" s="198"/>
      <c r="X35" s="198"/>
      <c r="Y35" s="198"/>
      <c r="Z35" s="198"/>
    </row>
    <row r="36" spans="1:26" s="6" customFormat="1" ht="27" customHeight="1">
      <c r="A36" s="13" t="e">
        <f>#REF!</f>
        <v>#REF!</v>
      </c>
      <c r="B36" s="12" t="e">
        <f>#REF!</f>
        <v>#REF!</v>
      </c>
      <c r="C36" s="12">
        <f t="shared" si="0"/>
        <v>0</v>
      </c>
      <c r="D36" s="14">
        <f t="shared" si="1"/>
        <v>0</v>
      </c>
      <c r="E36" s="196"/>
      <c r="F36" s="195"/>
      <c r="G36" s="191" t="s">
        <v>317</v>
      </c>
      <c r="H36" s="192"/>
      <c r="I36" s="195"/>
      <c r="J36" s="195" t="s">
        <v>318</v>
      </c>
      <c r="K36" s="195"/>
      <c r="L36" s="194"/>
      <c r="M36" s="194"/>
      <c r="N36" s="194"/>
      <c r="O36" s="194"/>
      <c r="P36" s="198"/>
      <c r="Q36" s="198"/>
      <c r="R36" s="198"/>
      <c r="S36" s="198"/>
      <c r="T36" s="198"/>
      <c r="U36" s="198"/>
      <c r="V36" s="198"/>
      <c r="W36" s="198"/>
      <c r="X36" s="198"/>
      <c r="Y36" s="198"/>
      <c r="Z36" s="198"/>
    </row>
    <row r="37" spans="1:26" s="6" customFormat="1" ht="27" customHeight="1">
      <c r="A37" s="13" t="e">
        <f>#REF!</f>
        <v>#REF!</v>
      </c>
      <c r="B37" s="12" t="e">
        <f>#REF!</f>
        <v>#REF!</v>
      </c>
      <c r="C37" s="12">
        <f t="shared" si="0"/>
        <v>0</v>
      </c>
      <c r="D37" s="14">
        <f t="shared" si="1"/>
        <v>0</v>
      </c>
      <c r="E37" s="190">
        <v>4</v>
      </c>
      <c r="F37" s="191" t="s">
        <v>319</v>
      </c>
      <c r="G37" s="191" t="s">
        <v>320</v>
      </c>
      <c r="H37" s="192"/>
      <c r="I37" s="195"/>
      <c r="J37" s="191" t="s">
        <v>321</v>
      </c>
      <c r="K37" s="195"/>
      <c r="L37" s="194"/>
      <c r="M37" s="194"/>
      <c r="N37" s="194"/>
      <c r="O37" s="194"/>
      <c r="P37" s="198"/>
      <c r="Q37" s="198"/>
      <c r="R37" s="198"/>
      <c r="S37" s="198"/>
      <c r="T37" s="198"/>
      <c r="U37" s="198"/>
      <c r="V37" s="198"/>
      <c r="W37" s="198"/>
      <c r="X37" s="198"/>
      <c r="Y37" s="198"/>
      <c r="Z37" s="198"/>
    </row>
    <row r="38" spans="1:26" s="6" customFormat="1" ht="27" customHeight="1">
      <c r="A38" s="13" t="e">
        <f>#REF!</f>
        <v>#REF!</v>
      </c>
      <c r="B38" s="12" t="e">
        <f>#REF!</f>
        <v>#REF!</v>
      </c>
      <c r="C38" s="12">
        <f t="shared" si="0"/>
        <v>0</v>
      </c>
      <c r="D38" s="14">
        <f t="shared" si="1"/>
        <v>0</v>
      </c>
      <c r="E38" s="196"/>
      <c r="F38" s="195"/>
      <c r="G38" s="195" t="s">
        <v>286</v>
      </c>
      <c r="H38" s="192"/>
      <c r="I38" s="195"/>
      <c r="J38" s="195" t="s">
        <v>282</v>
      </c>
      <c r="K38" s="195"/>
      <c r="L38" s="194"/>
      <c r="M38" s="194"/>
      <c r="N38" s="194"/>
      <c r="O38" s="194"/>
      <c r="P38" s="198"/>
      <c r="Q38" s="198"/>
      <c r="R38" s="198"/>
      <c r="S38" s="198"/>
      <c r="T38" s="198"/>
      <c r="U38" s="198"/>
      <c r="V38" s="198"/>
      <c r="W38" s="198"/>
      <c r="X38" s="198"/>
      <c r="Y38" s="198"/>
      <c r="Z38" s="198"/>
    </row>
    <row r="39" spans="1:26" s="6" customFormat="1" ht="27" customHeight="1">
      <c r="A39" s="13" t="e">
        <f>#REF!</f>
        <v>#REF!</v>
      </c>
      <c r="B39" s="12" t="e">
        <f>#REF!</f>
        <v>#REF!</v>
      </c>
      <c r="C39" s="12">
        <f t="shared" si="0"/>
        <v>0</v>
      </c>
      <c r="D39" s="14">
        <f t="shared" si="1"/>
        <v>0</v>
      </c>
      <c r="E39" s="196"/>
      <c r="F39" s="195"/>
      <c r="G39" s="191" t="s">
        <v>322</v>
      </c>
      <c r="H39" s="192"/>
      <c r="I39" s="195"/>
      <c r="J39" s="195" t="s">
        <v>288</v>
      </c>
      <c r="K39" s="195"/>
      <c r="L39" s="194"/>
      <c r="M39" s="194"/>
      <c r="N39" s="194"/>
      <c r="O39" s="194"/>
      <c r="P39" s="198"/>
      <c r="Q39" s="198"/>
      <c r="R39" s="198"/>
      <c r="S39" s="198"/>
      <c r="T39" s="198"/>
      <c r="U39" s="198"/>
      <c r="V39" s="198"/>
      <c r="W39" s="198"/>
      <c r="X39" s="198"/>
      <c r="Y39" s="198"/>
      <c r="Z39" s="198"/>
    </row>
    <row r="40" spans="1:26" s="6" customFormat="1" ht="27" customHeight="1">
      <c r="A40" s="13"/>
      <c r="B40" s="12"/>
      <c r="C40" s="12"/>
      <c r="D40" s="14"/>
      <c r="E40" s="196"/>
      <c r="F40" s="195"/>
      <c r="G40" s="195" t="s">
        <v>289</v>
      </c>
      <c r="H40" s="192"/>
      <c r="I40" s="195"/>
      <c r="J40" s="195" t="s">
        <v>282</v>
      </c>
      <c r="K40" s="195"/>
      <c r="L40" s="194"/>
      <c r="M40" s="194"/>
      <c r="N40" s="194"/>
      <c r="O40" s="194"/>
      <c r="P40" s="198"/>
      <c r="Q40" s="198"/>
      <c r="R40" s="198"/>
      <c r="S40" s="198"/>
      <c r="T40" s="198"/>
      <c r="U40" s="198"/>
      <c r="V40" s="198"/>
      <c r="W40" s="198"/>
      <c r="X40" s="198"/>
      <c r="Y40" s="198"/>
      <c r="Z40" s="198"/>
    </row>
    <row r="41" spans="1:26" s="6" customFormat="1" ht="27" customHeight="1">
      <c r="A41" s="13"/>
      <c r="B41" s="12"/>
      <c r="C41" s="12"/>
      <c r="D41" s="14"/>
      <c r="E41" s="196"/>
      <c r="F41" s="195"/>
      <c r="G41" s="195" t="s">
        <v>290</v>
      </c>
      <c r="H41" s="192"/>
      <c r="I41" s="195"/>
      <c r="J41" s="191" t="s">
        <v>291</v>
      </c>
      <c r="K41" s="195"/>
      <c r="L41" s="194"/>
      <c r="M41" s="194"/>
      <c r="N41" s="194"/>
      <c r="O41" s="194"/>
      <c r="P41" s="198"/>
      <c r="Q41" s="198"/>
      <c r="R41" s="198"/>
      <c r="S41" s="198"/>
      <c r="T41" s="198"/>
      <c r="U41" s="198"/>
      <c r="V41" s="198"/>
      <c r="W41" s="198"/>
      <c r="X41" s="198"/>
      <c r="Y41" s="198"/>
      <c r="Z41" s="198"/>
    </row>
    <row r="42" spans="1:26" s="6" customFormat="1" ht="27" customHeight="1">
      <c r="A42" s="13"/>
      <c r="B42" s="12"/>
      <c r="C42" s="12"/>
      <c r="D42" s="14"/>
      <c r="E42" s="196"/>
      <c r="F42" s="195"/>
      <c r="G42" s="195" t="s">
        <v>292</v>
      </c>
      <c r="H42" s="192"/>
      <c r="I42" s="195"/>
      <c r="J42" s="195" t="s">
        <v>282</v>
      </c>
      <c r="K42" s="195"/>
      <c r="L42" s="194"/>
      <c r="M42" s="194"/>
      <c r="N42" s="194"/>
      <c r="O42" s="194"/>
      <c r="P42" s="198"/>
      <c r="Q42" s="198"/>
      <c r="R42" s="198"/>
      <c r="S42" s="198"/>
      <c r="T42" s="198"/>
      <c r="U42" s="198"/>
      <c r="V42" s="198"/>
      <c r="W42" s="198"/>
      <c r="X42" s="198"/>
      <c r="Y42" s="198"/>
      <c r="Z42" s="198"/>
    </row>
    <row r="43" spans="1:26" s="6" customFormat="1" ht="27" customHeight="1" thickBot="1">
      <c r="A43" s="83" t="e">
        <f>#REF!</f>
        <v>#REF!</v>
      </c>
      <c r="B43" s="84" t="e">
        <f>#REF!</f>
        <v>#REF!</v>
      </c>
      <c r="C43" s="84">
        <f t="shared" si="0"/>
        <v>0</v>
      </c>
      <c r="D43" s="85">
        <f t="shared" si="1"/>
        <v>0</v>
      </c>
      <c r="E43" s="196"/>
      <c r="F43" s="195"/>
      <c r="G43" s="191" t="s">
        <v>323</v>
      </c>
      <c r="H43" s="192"/>
      <c r="I43" s="195"/>
      <c r="J43" s="191" t="s">
        <v>294</v>
      </c>
      <c r="K43" s="195"/>
      <c r="L43" s="194"/>
      <c r="M43" s="194"/>
      <c r="N43" s="194"/>
      <c r="O43" s="194"/>
      <c r="P43" s="198"/>
      <c r="Q43" s="198"/>
      <c r="R43" s="198"/>
      <c r="S43" s="198"/>
      <c r="T43" s="198"/>
      <c r="U43" s="198"/>
      <c r="V43" s="198"/>
      <c r="W43" s="198"/>
      <c r="X43" s="198"/>
      <c r="Y43" s="198"/>
      <c r="Z43" s="198"/>
    </row>
    <row r="44" spans="1:26" s="6" customFormat="1" ht="27" customHeight="1" thickBot="1">
      <c r="A44" s="86" t="e">
        <f>#REF!</f>
        <v>#REF!</v>
      </c>
      <c r="B44" s="87" t="e">
        <f>#REF!</f>
        <v>#REF!</v>
      </c>
      <c r="C44" s="87">
        <f t="shared" si="0"/>
        <v>0</v>
      </c>
      <c r="D44" s="88">
        <f t="shared" si="1"/>
        <v>0</v>
      </c>
      <c r="E44" s="196"/>
      <c r="F44" s="195"/>
      <c r="G44" s="191" t="s">
        <v>324</v>
      </c>
      <c r="H44" s="192"/>
      <c r="I44" s="195"/>
      <c r="J44" s="195" t="s">
        <v>325</v>
      </c>
      <c r="K44" s="195"/>
      <c r="L44" s="194"/>
      <c r="M44" s="194"/>
      <c r="N44" s="194"/>
      <c r="O44" s="194"/>
      <c r="P44" s="198"/>
      <c r="Q44" s="198"/>
      <c r="R44" s="198"/>
      <c r="S44" s="198"/>
      <c r="T44" s="198"/>
      <c r="U44" s="198"/>
      <c r="V44" s="198"/>
      <c r="W44" s="198"/>
      <c r="X44" s="198"/>
      <c r="Y44" s="198"/>
      <c r="Z44" s="198"/>
    </row>
    <row r="45" spans="1:26" ht="22.5" customHeight="1">
      <c r="E45" s="190">
        <v>5</v>
      </c>
      <c r="F45" s="191" t="s">
        <v>326</v>
      </c>
      <c r="G45" s="191" t="s">
        <v>327</v>
      </c>
      <c r="H45" s="192"/>
      <c r="I45" s="195"/>
      <c r="J45" s="191" t="s">
        <v>328</v>
      </c>
      <c r="K45" s="195"/>
      <c r="L45" s="194"/>
      <c r="M45" s="194"/>
      <c r="N45" s="194"/>
      <c r="O45" s="194"/>
      <c r="P45" s="198"/>
      <c r="Q45" s="198"/>
      <c r="R45" s="198"/>
      <c r="S45" s="198"/>
      <c r="T45" s="198"/>
      <c r="U45" s="198"/>
      <c r="V45" s="198"/>
      <c r="W45" s="198"/>
      <c r="X45" s="198"/>
      <c r="Y45" s="198"/>
      <c r="Z45" s="198"/>
    </row>
    <row r="46" spans="1:26">
      <c r="E46" s="196"/>
      <c r="F46" s="195"/>
      <c r="G46" s="195" t="s">
        <v>286</v>
      </c>
      <c r="H46" s="192"/>
      <c r="I46" s="195"/>
      <c r="J46" s="195" t="s">
        <v>282</v>
      </c>
      <c r="K46" s="195"/>
      <c r="L46" s="194"/>
      <c r="M46" s="194"/>
      <c r="N46" s="194"/>
      <c r="O46" s="194"/>
      <c r="P46" s="198"/>
      <c r="Q46" s="198"/>
      <c r="R46" s="198"/>
      <c r="S46" s="198"/>
      <c r="T46" s="198"/>
      <c r="U46" s="198"/>
      <c r="V46" s="198"/>
      <c r="W46" s="198"/>
      <c r="X46" s="198"/>
      <c r="Y46" s="198"/>
      <c r="Z46" s="198"/>
    </row>
    <row r="47" spans="1:26" ht="45.6">
      <c r="E47" s="196"/>
      <c r="F47" s="195"/>
      <c r="G47" s="191" t="s">
        <v>329</v>
      </c>
      <c r="H47" s="192"/>
      <c r="I47" s="195"/>
      <c r="J47" s="191" t="s">
        <v>330</v>
      </c>
      <c r="K47" s="195"/>
      <c r="L47" s="194"/>
      <c r="M47" s="194"/>
      <c r="N47" s="194"/>
      <c r="O47" s="194"/>
      <c r="P47" s="198"/>
      <c r="Q47" s="198"/>
      <c r="R47" s="198"/>
      <c r="S47" s="198"/>
      <c r="T47" s="198"/>
      <c r="U47" s="198"/>
      <c r="V47" s="198"/>
      <c r="W47" s="198"/>
      <c r="X47" s="198"/>
      <c r="Y47" s="198"/>
      <c r="Z47" s="198"/>
    </row>
    <row r="48" spans="1:26">
      <c r="E48" s="196"/>
      <c r="F48" s="195"/>
      <c r="G48" s="195" t="s">
        <v>286</v>
      </c>
      <c r="H48" s="192"/>
      <c r="I48" s="195"/>
      <c r="J48" s="195" t="s">
        <v>282</v>
      </c>
      <c r="K48" s="195"/>
      <c r="L48" s="194"/>
      <c r="M48" s="194"/>
      <c r="N48" s="194"/>
      <c r="O48" s="194"/>
      <c r="P48" s="198"/>
      <c r="Q48" s="198"/>
      <c r="R48" s="198"/>
      <c r="S48" s="198"/>
      <c r="T48" s="198"/>
      <c r="U48" s="198"/>
      <c r="V48" s="198"/>
      <c r="W48" s="198"/>
      <c r="X48" s="198"/>
      <c r="Y48" s="198"/>
      <c r="Z48" s="198"/>
    </row>
    <row r="49" spans="5:26" ht="68.400000000000006">
      <c r="E49" s="196"/>
      <c r="F49" s="195"/>
      <c r="G49" s="191" t="s">
        <v>331</v>
      </c>
      <c r="H49" s="192"/>
      <c r="I49" s="195"/>
      <c r="J49" s="191" t="s">
        <v>321</v>
      </c>
      <c r="K49" s="195"/>
      <c r="L49" s="194"/>
      <c r="M49" s="194"/>
      <c r="N49" s="194"/>
      <c r="O49" s="194"/>
      <c r="P49" s="198"/>
      <c r="Q49" s="198"/>
      <c r="R49" s="198"/>
      <c r="S49" s="198"/>
      <c r="T49" s="198"/>
      <c r="U49" s="198"/>
      <c r="V49" s="198"/>
      <c r="W49" s="198"/>
      <c r="X49" s="198"/>
      <c r="Y49" s="198"/>
      <c r="Z49" s="198"/>
    </row>
    <row r="50" spans="5:26">
      <c r="E50" s="196"/>
      <c r="F50" s="195"/>
      <c r="G50" s="195" t="s">
        <v>286</v>
      </c>
      <c r="H50" s="192"/>
      <c r="I50" s="195"/>
      <c r="J50" s="195" t="s">
        <v>282</v>
      </c>
      <c r="K50" s="195"/>
      <c r="L50" s="194"/>
      <c r="M50" s="194"/>
      <c r="N50" s="194"/>
      <c r="O50" s="194"/>
      <c r="P50" s="198"/>
      <c r="Q50" s="198"/>
      <c r="R50" s="198"/>
      <c r="S50" s="198"/>
      <c r="T50" s="198"/>
      <c r="U50" s="198"/>
      <c r="V50" s="198"/>
      <c r="W50" s="198"/>
      <c r="X50" s="198"/>
      <c r="Y50" s="198"/>
      <c r="Z50" s="198"/>
    </row>
    <row r="51" spans="5:26" ht="45.6">
      <c r="E51" s="196"/>
      <c r="F51" s="195"/>
      <c r="G51" s="191" t="s">
        <v>332</v>
      </c>
      <c r="H51" s="192"/>
      <c r="I51" s="195"/>
      <c r="J51" s="195" t="s">
        <v>333</v>
      </c>
      <c r="K51" s="195"/>
      <c r="L51" s="194"/>
      <c r="M51" s="194"/>
      <c r="N51" s="194"/>
      <c r="O51" s="194"/>
      <c r="P51" s="198"/>
      <c r="Q51" s="198"/>
      <c r="R51" s="198"/>
      <c r="S51" s="198"/>
      <c r="T51" s="198"/>
      <c r="U51" s="198"/>
      <c r="V51" s="198"/>
      <c r="W51" s="198"/>
      <c r="X51" s="198"/>
      <c r="Y51" s="198"/>
      <c r="Z51" s="198"/>
    </row>
    <row r="52" spans="5:26">
      <c r="E52" s="196"/>
      <c r="F52" s="195"/>
      <c r="G52" s="195" t="s">
        <v>286</v>
      </c>
      <c r="H52" s="192"/>
      <c r="I52" s="195"/>
      <c r="J52" s="195" t="s">
        <v>282</v>
      </c>
      <c r="K52" s="195"/>
      <c r="L52" s="194"/>
      <c r="M52" s="194"/>
      <c r="N52" s="194"/>
      <c r="O52" s="194"/>
      <c r="P52" s="198"/>
      <c r="Q52" s="198"/>
      <c r="R52" s="198"/>
      <c r="S52" s="198"/>
      <c r="T52" s="198"/>
      <c r="U52" s="198"/>
      <c r="V52" s="198"/>
      <c r="W52" s="198"/>
      <c r="X52" s="198"/>
      <c r="Y52" s="198"/>
      <c r="Z52" s="198"/>
    </row>
    <row r="53" spans="5:26" ht="57">
      <c r="E53" s="196"/>
      <c r="F53" s="195"/>
      <c r="G53" s="191" t="s">
        <v>334</v>
      </c>
      <c r="H53" s="192"/>
      <c r="I53" s="195"/>
      <c r="J53" s="191" t="s">
        <v>335</v>
      </c>
      <c r="K53" s="195"/>
      <c r="L53" s="194"/>
      <c r="M53" s="194"/>
      <c r="N53" s="194"/>
      <c r="O53" s="194"/>
      <c r="P53" s="198"/>
      <c r="Q53" s="198"/>
      <c r="R53" s="198"/>
      <c r="S53" s="198"/>
      <c r="T53" s="198"/>
      <c r="U53" s="198"/>
      <c r="V53" s="198"/>
      <c r="W53" s="198"/>
      <c r="X53" s="198"/>
      <c r="Y53" s="198"/>
      <c r="Z53" s="198"/>
    </row>
    <row r="54" spans="5:26">
      <c r="E54" s="196"/>
      <c r="F54" s="195"/>
      <c r="G54" s="195" t="s">
        <v>286</v>
      </c>
      <c r="H54" s="192"/>
      <c r="I54" s="195"/>
      <c r="J54" s="195" t="s">
        <v>282</v>
      </c>
      <c r="K54" s="195"/>
      <c r="L54" s="194"/>
      <c r="M54" s="194"/>
      <c r="N54" s="194"/>
      <c r="O54" s="194"/>
      <c r="P54" s="198"/>
      <c r="Q54" s="198"/>
      <c r="R54" s="198"/>
      <c r="S54" s="198"/>
      <c r="T54" s="198"/>
      <c r="U54" s="198"/>
      <c r="V54" s="198"/>
      <c r="W54" s="198"/>
      <c r="X54" s="198"/>
      <c r="Y54" s="198"/>
      <c r="Z54" s="198"/>
    </row>
    <row r="55" spans="5:26" ht="57">
      <c r="E55" s="196"/>
      <c r="F55" s="195"/>
      <c r="G55" s="191" t="s">
        <v>336</v>
      </c>
      <c r="H55" s="192"/>
      <c r="I55" s="195"/>
      <c r="J55" s="191" t="s">
        <v>330</v>
      </c>
      <c r="K55" s="195"/>
      <c r="L55" s="194"/>
      <c r="M55" s="194"/>
      <c r="N55" s="194"/>
      <c r="O55" s="194"/>
      <c r="P55" s="198"/>
      <c r="Q55" s="198"/>
      <c r="R55" s="198"/>
      <c r="S55" s="198"/>
      <c r="T55" s="198"/>
      <c r="U55" s="198"/>
      <c r="V55" s="198"/>
      <c r="W55" s="198"/>
      <c r="X55" s="198"/>
      <c r="Y55" s="198"/>
      <c r="Z55" s="198"/>
    </row>
    <row r="56" spans="5:26">
      <c r="E56" s="196"/>
      <c r="F56" s="195"/>
      <c r="G56" s="195" t="s">
        <v>286</v>
      </c>
      <c r="H56" s="192"/>
      <c r="I56" s="195"/>
      <c r="J56" s="195" t="s">
        <v>282</v>
      </c>
      <c r="K56" s="195"/>
      <c r="L56" s="194"/>
      <c r="M56" s="194"/>
      <c r="N56" s="194"/>
      <c r="O56" s="194"/>
      <c r="P56" s="198"/>
      <c r="Q56" s="198"/>
      <c r="R56" s="198"/>
      <c r="S56" s="198"/>
      <c r="T56" s="198"/>
      <c r="U56" s="198"/>
      <c r="V56" s="198"/>
      <c r="W56" s="198"/>
      <c r="X56" s="198"/>
      <c r="Y56" s="198"/>
      <c r="Z56" s="198"/>
    </row>
    <row r="57" spans="5:26" ht="34.200000000000003">
      <c r="E57" s="190">
        <v>6</v>
      </c>
      <c r="F57" s="191" t="s">
        <v>337</v>
      </c>
      <c r="G57" s="191" t="s">
        <v>338</v>
      </c>
      <c r="H57" s="192"/>
      <c r="I57" s="191" t="s">
        <v>313</v>
      </c>
      <c r="J57" s="195" t="s">
        <v>339</v>
      </c>
      <c r="K57" s="195"/>
      <c r="L57" s="194"/>
      <c r="M57" s="194"/>
      <c r="N57" s="194"/>
      <c r="O57" s="194"/>
      <c r="P57" s="198"/>
      <c r="Q57" s="198"/>
      <c r="R57" s="198"/>
      <c r="S57" s="198"/>
      <c r="T57" s="198"/>
      <c r="U57" s="198"/>
      <c r="V57" s="198"/>
      <c r="W57" s="198"/>
      <c r="X57" s="198"/>
      <c r="Y57" s="198"/>
      <c r="Z57" s="198"/>
    </row>
    <row r="58" spans="5:26" ht="22.8">
      <c r="E58" s="196"/>
      <c r="F58" s="195"/>
      <c r="G58" s="191" t="s">
        <v>340</v>
      </c>
      <c r="H58" s="192"/>
      <c r="I58" s="191" t="s">
        <v>341</v>
      </c>
      <c r="J58" s="195" t="s">
        <v>339</v>
      </c>
      <c r="K58" s="195"/>
      <c r="L58" s="194"/>
      <c r="M58" s="194"/>
      <c r="N58" s="194"/>
      <c r="O58" s="194"/>
      <c r="P58" s="198"/>
      <c r="Q58" s="198"/>
      <c r="R58" s="198"/>
      <c r="S58" s="198"/>
      <c r="T58" s="198"/>
      <c r="U58" s="198"/>
      <c r="V58" s="198"/>
      <c r="W58" s="198"/>
      <c r="X58" s="198"/>
      <c r="Y58" s="198"/>
      <c r="Z58" s="198"/>
    </row>
    <row r="59" spans="5:26" ht="22.8">
      <c r="E59" s="196"/>
      <c r="F59" s="195"/>
      <c r="G59" s="191" t="s">
        <v>342</v>
      </c>
      <c r="H59" s="192"/>
      <c r="I59" s="191">
        <v>1234</v>
      </c>
      <c r="J59" s="195" t="s">
        <v>339</v>
      </c>
      <c r="K59" s="195"/>
      <c r="L59" s="194"/>
      <c r="M59" s="194"/>
      <c r="N59" s="194"/>
      <c r="O59" s="194"/>
      <c r="P59" s="198"/>
      <c r="Q59" s="198"/>
      <c r="R59" s="198"/>
      <c r="S59" s="198"/>
      <c r="T59" s="198"/>
      <c r="U59" s="198"/>
      <c r="V59" s="198"/>
      <c r="W59" s="198"/>
      <c r="X59" s="198"/>
      <c r="Y59" s="198"/>
      <c r="Z59" s="198"/>
    </row>
    <row r="60" spans="5:26" ht="22.8">
      <c r="E60" s="196"/>
      <c r="F60" s="195"/>
      <c r="G60" s="191" t="s">
        <v>343</v>
      </c>
      <c r="H60" s="192"/>
      <c r="I60" s="191" t="s">
        <v>344</v>
      </c>
      <c r="J60" s="195" t="s">
        <v>339</v>
      </c>
      <c r="K60" s="195"/>
      <c r="L60" s="194"/>
      <c r="M60" s="194"/>
      <c r="N60" s="194"/>
      <c r="O60" s="194"/>
      <c r="P60" s="198"/>
      <c r="Q60" s="198"/>
      <c r="R60" s="198"/>
      <c r="S60" s="198"/>
      <c r="T60" s="198"/>
      <c r="U60" s="198"/>
      <c r="V60" s="198"/>
      <c r="W60" s="198"/>
      <c r="X60" s="198"/>
      <c r="Y60" s="198"/>
      <c r="Z60" s="198"/>
    </row>
    <row r="61" spans="5:26" ht="68.400000000000006">
      <c r="E61" s="196"/>
      <c r="F61" s="195"/>
      <c r="G61" s="191" t="s">
        <v>345</v>
      </c>
      <c r="H61" s="192"/>
      <c r="I61" s="195"/>
      <c r="J61" s="191" t="s">
        <v>346</v>
      </c>
      <c r="K61" s="195"/>
      <c r="L61" s="194"/>
      <c r="M61" s="194"/>
      <c r="N61" s="194"/>
      <c r="O61" s="194"/>
      <c r="P61" s="198"/>
      <c r="Q61" s="198"/>
      <c r="R61" s="198"/>
      <c r="S61" s="198"/>
      <c r="T61" s="198"/>
      <c r="U61" s="198"/>
      <c r="V61" s="198"/>
      <c r="W61" s="198"/>
      <c r="X61" s="198"/>
      <c r="Y61" s="198"/>
      <c r="Z61" s="198"/>
    </row>
    <row r="62" spans="5:26">
      <c r="E62" s="196"/>
      <c r="F62" s="195"/>
      <c r="G62" s="191" t="s">
        <v>281</v>
      </c>
      <c r="H62" s="192"/>
      <c r="I62" s="195"/>
      <c r="J62" s="195" t="s">
        <v>282</v>
      </c>
      <c r="K62" s="195"/>
      <c r="L62" s="194"/>
      <c r="M62" s="194"/>
      <c r="N62" s="194"/>
      <c r="O62" s="194"/>
      <c r="P62" s="198"/>
      <c r="Q62" s="198"/>
      <c r="R62" s="198"/>
      <c r="S62" s="198"/>
      <c r="T62" s="198"/>
      <c r="U62" s="198"/>
      <c r="V62" s="198"/>
      <c r="W62" s="198"/>
      <c r="X62" s="198"/>
      <c r="Y62" s="198"/>
      <c r="Z62" s="198"/>
    </row>
    <row r="63" spans="5:26" ht="22.8">
      <c r="E63" s="196"/>
      <c r="F63" s="195"/>
      <c r="G63" s="191" t="s">
        <v>347</v>
      </c>
      <c r="H63" s="192"/>
      <c r="I63" s="195"/>
      <c r="J63" s="195" t="s">
        <v>339</v>
      </c>
      <c r="K63" s="195"/>
      <c r="L63" s="194"/>
      <c r="M63" s="194"/>
      <c r="N63" s="194"/>
      <c r="O63" s="194"/>
      <c r="P63" s="198"/>
      <c r="Q63" s="198"/>
      <c r="R63" s="198"/>
      <c r="S63" s="198"/>
      <c r="T63" s="198"/>
      <c r="U63" s="198"/>
      <c r="V63" s="198"/>
      <c r="W63" s="198"/>
      <c r="X63" s="198"/>
      <c r="Y63" s="198"/>
      <c r="Z63" s="198"/>
    </row>
    <row r="64" spans="5:26" ht="22.8">
      <c r="E64" s="196"/>
      <c r="F64" s="195"/>
      <c r="G64" s="191" t="s">
        <v>348</v>
      </c>
      <c r="H64" s="192"/>
      <c r="I64" s="195"/>
      <c r="J64" s="191" t="s">
        <v>349</v>
      </c>
      <c r="K64" s="195"/>
      <c r="L64" s="194"/>
      <c r="M64" s="194"/>
      <c r="N64" s="194"/>
      <c r="O64" s="194"/>
      <c r="P64" s="198"/>
      <c r="Q64" s="198"/>
      <c r="R64" s="198"/>
      <c r="S64" s="198"/>
      <c r="T64" s="198"/>
      <c r="U64" s="198"/>
      <c r="V64" s="198"/>
      <c r="W64" s="198"/>
      <c r="X64" s="198"/>
      <c r="Y64" s="198"/>
      <c r="Z64" s="198"/>
    </row>
    <row r="65" spans="5:26" ht="45.6">
      <c r="E65" s="196"/>
      <c r="F65" s="195"/>
      <c r="G65" s="191" t="s">
        <v>350</v>
      </c>
      <c r="H65" s="192"/>
      <c r="I65" s="191" t="s">
        <v>313</v>
      </c>
      <c r="J65" s="191" t="s">
        <v>351</v>
      </c>
      <c r="K65" s="195"/>
      <c r="L65" s="194"/>
      <c r="M65" s="194"/>
      <c r="N65" s="194"/>
      <c r="O65" s="194"/>
      <c r="P65" s="198"/>
      <c r="Q65" s="198"/>
      <c r="R65" s="198"/>
      <c r="S65" s="198"/>
      <c r="T65" s="198"/>
      <c r="U65" s="198"/>
      <c r="V65" s="198"/>
      <c r="W65" s="198"/>
      <c r="X65" s="198"/>
      <c r="Y65" s="198"/>
      <c r="Z65" s="198"/>
    </row>
    <row r="66" spans="5:26" ht="45.6">
      <c r="E66" s="196"/>
      <c r="F66" s="195"/>
      <c r="G66" s="191" t="s">
        <v>352</v>
      </c>
      <c r="H66" s="192"/>
      <c r="I66" s="191" t="s">
        <v>341</v>
      </c>
      <c r="J66" s="191" t="s">
        <v>351</v>
      </c>
      <c r="K66" s="195"/>
      <c r="L66" s="194"/>
      <c r="M66" s="194"/>
      <c r="N66" s="194"/>
      <c r="O66" s="194"/>
      <c r="P66" s="198"/>
      <c r="Q66" s="198"/>
      <c r="R66" s="198"/>
      <c r="S66" s="198"/>
      <c r="T66" s="198"/>
      <c r="U66" s="198"/>
      <c r="V66" s="198"/>
      <c r="W66" s="198"/>
      <c r="X66" s="198"/>
      <c r="Y66" s="198"/>
      <c r="Z66" s="198"/>
    </row>
    <row r="67" spans="5:26" ht="34.200000000000003">
      <c r="E67" s="196"/>
      <c r="F67" s="195"/>
      <c r="G67" s="191" t="s">
        <v>353</v>
      </c>
      <c r="H67" s="192"/>
      <c r="I67" s="192">
        <v>241653</v>
      </c>
      <c r="J67" s="191" t="s">
        <v>354</v>
      </c>
      <c r="K67" s="195"/>
      <c r="L67" s="194"/>
      <c r="M67" s="194"/>
      <c r="N67" s="194"/>
      <c r="O67" s="194"/>
      <c r="P67" s="198"/>
      <c r="Q67" s="198"/>
      <c r="R67" s="198"/>
      <c r="S67" s="198"/>
      <c r="T67" s="198"/>
      <c r="U67" s="198"/>
      <c r="V67" s="198"/>
      <c r="W67" s="198"/>
      <c r="X67" s="198"/>
      <c r="Y67" s="198"/>
      <c r="Z67" s="198"/>
    </row>
    <row r="68" spans="5:26" ht="45.6">
      <c r="E68" s="196"/>
      <c r="F68" s="195"/>
      <c r="G68" s="191" t="s">
        <v>355</v>
      </c>
      <c r="H68" s="192"/>
      <c r="I68" s="191">
        <v>22222222222</v>
      </c>
      <c r="J68" s="191" t="s">
        <v>351</v>
      </c>
      <c r="K68" s="195"/>
      <c r="L68" s="194"/>
      <c r="M68" s="194"/>
      <c r="N68" s="194"/>
      <c r="O68" s="194"/>
      <c r="P68" s="198"/>
      <c r="Q68" s="198"/>
      <c r="R68" s="198"/>
      <c r="S68" s="198"/>
      <c r="T68" s="198"/>
      <c r="U68" s="198"/>
      <c r="V68" s="198"/>
      <c r="W68" s="198"/>
      <c r="X68" s="198"/>
      <c r="Y68" s="198"/>
      <c r="Z68" s="198"/>
    </row>
    <row r="69" spans="5:26" ht="45.6">
      <c r="E69" s="196"/>
      <c r="F69" s="195"/>
      <c r="G69" s="191" t="s">
        <v>356</v>
      </c>
      <c r="H69" s="192"/>
      <c r="I69" s="191" t="s">
        <v>357</v>
      </c>
      <c r="J69" s="191" t="s">
        <v>351</v>
      </c>
      <c r="K69" s="195"/>
      <c r="L69" s="194"/>
      <c r="M69" s="194"/>
      <c r="N69" s="194"/>
      <c r="O69" s="194"/>
      <c r="P69" s="198"/>
      <c r="Q69" s="198"/>
      <c r="R69" s="198"/>
      <c r="S69" s="198"/>
      <c r="T69" s="198"/>
      <c r="U69" s="198"/>
      <c r="V69" s="198"/>
      <c r="W69" s="198"/>
      <c r="X69" s="198"/>
      <c r="Y69" s="198"/>
      <c r="Z69" s="198"/>
    </row>
    <row r="70" spans="5:26" ht="45.6">
      <c r="E70" s="196"/>
      <c r="F70" s="195"/>
      <c r="G70" s="191" t="s">
        <v>358</v>
      </c>
      <c r="H70" s="192"/>
      <c r="I70" s="195"/>
      <c r="J70" s="191" t="s">
        <v>351</v>
      </c>
      <c r="K70" s="195"/>
      <c r="L70" s="194"/>
      <c r="M70" s="194"/>
      <c r="N70" s="194"/>
      <c r="O70" s="194"/>
      <c r="P70" s="198"/>
      <c r="Q70" s="198"/>
      <c r="R70" s="198"/>
      <c r="S70" s="198"/>
      <c r="T70" s="198"/>
      <c r="U70" s="198"/>
      <c r="V70" s="198"/>
      <c r="W70" s="198"/>
      <c r="X70" s="198"/>
      <c r="Y70" s="198"/>
      <c r="Z70" s="198"/>
    </row>
    <row r="71" spans="5:26" ht="45.6">
      <c r="E71" s="196"/>
      <c r="F71" s="195"/>
      <c r="G71" s="191" t="s">
        <v>359</v>
      </c>
      <c r="H71" s="192"/>
      <c r="I71" s="195"/>
      <c r="J71" s="191" t="s">
        <v>351</v>
      </c>
      <c r="K71" s="195"/>
      <c r="L71" s="194"/>
      <c r="M71" s="194"/>
      <c r="N71" s="194"/>
      <c r="O71" s="194"/>
      <c r="P71" s="198"/>
      <c r="Q71" s="198"/>
      <c r="R71" s="198"/>
      <c r="S71" s="198"/>
      <c r="T71" s="198"/>
      <c r="U71" s="198"/>
      <c r="V71" s="198"/>
      <c r="W71" s="198"/>
      <c r="X71" s="198"/>
      <c r="Y71" s="198"/>
      <c r="Z71" s="198"/>
    </row>
    <row r="72" spans="5:26" ht="22.8">
      <c r="E72" s="196"/>
      <c r="F72" s="195"/>
      <c r="G72" s="191" t="s">
        <v>360</v>
      </c>
      <c r="H72" s="192"/>
      <c r="I72" s="195"/>
      <c r="J72" s="191" t="s">
        <v>361</v>
      </c>
      <c r="K72" s="195"/>
      <c r="L72" s="194"/>
      <c r="M72" s="194"/>
      <c r="N72" s="194"/>
      <c r="O72" s="194"/>
      <c r="P72" s="198"/>
      <c r="Q72" s="198"/>
      <c r="R72" s="198"/>
      <c r="S72" s="198"/>
      <c r="T72" s="198"/>
      <c r="U72" s="198"/>
      <c r="V72" s="198"/>
      <c r="W72" s="198"/>
      <c r="X72" s="198"/>
      <c r="Y72" s="198"/>
      <c r="Z72" s="198"/>
    </row>
    <row r="73" spans="5:26" ht="45.6">
      <c r="E73" s="196"/>
      <c r="F73" s="195"/>
      <c r="G73" s="191" t="s">
        <v>362</v>
      </c>
      <c r="H73" s="192"/>
      <c r="I73" s="191" t="s">
        <v>313</v>
      </c>
      <c r="J73" s="191" t="s">
        <v>363</v>
      </c>
      <c r="K73" s="195"/>
      <c r="L73" s="194"/>
      <c r="M73" s="194"/>
      <c r="N73" s="194"/>
      <c r="O73" s="194"/>
      <c r="P73" s="198"/>
      <c r="Q73" s="198"/>
      <c r="R73" s="198"/>
      <c r="S73" s="198"/>
      <c r="T73" s="198"/>
      <c r="U73" s="198"/>
      <c r="V73" s="198"/>
      <c r="W73" s="198"/>
      <c r="X73" s="198"/>
      <c r="Y73" s="198"/>
      <c r="Z73" s="198"/>
    </row>
    <row r="74" spans="5:26" ht="45.6">
      <c r="E74" s="196"/>
      <c r="F74" s="195"/>
      <c r="G74" s="191" t="s">
        <v>364</v>
      </c>
      <c r="H74" s="192"/>
      <c r="I74" s="191" t="s">
        <v>341</v>
      </c>
      <c r="J74" s="191" t="s">
        <v>363</v>
      </c>
      <c r="K74" s="195"/>
      <c r="L74" s="194"/>
      <c r="M74" s="194"/>
      <c r="N74" s="194"/>
      <c r="O74" s="194"/>
      <c r="P74" s="198"/>
      <c r="Q74" s="198"/>
      <c r="R74" s="198"/>
      <c r="S74" s="198"/>
      <c r="T74" s="198"/>
      <c r="U74" s="198"/>
      <c r="V74" s="198"/>
      <c r="W74" s="198"/>
      <c r="X74" s="198"/>
      <c r="Y74" s="198"/>
      <c r="Z74" s="198"/>
    </row>
    <row r="75" spans="5:26" ht="34.200000000000003">
      <c r="E75" s="196"/>
      <c r="F75" s="195"/>
      <c r="G75" s="191" t="s">
        <v>365</v>
      </c>
      <c r="H75" s="192"/>
      <c r="I75" s="192">
        <v>241653</v>
      </c>
      <c r="J75" s="191" t="s">
        <v>366</v>
      </c>
      <c r="K75" s="195"/>
      <c r="L75" s="194"/>
      <c r="M75" s="194"/>
      <c r="N75" s="194"/>
      <c r="O75" s="194"/>
      <c r="P75" s="198"/>
      <c r="Q75" s="198"/>
      <c r="R75" s="198"/>
      <c r="S75" s="198"/>
      <c r="T75" s="198"/>
      <c r="U75" s="198"/>
      <c r="V75" s="198"/>
      <c r="W75" s="198"/>
      <c r="X75" s="198"/>
      <c r="Y75" s="198"/>
      <c r="Z75" s="198"/>
    </row>
    <row r="76" spans="5:26" ht="45.6">
      <c r="E76" s="196"/>
      <c r="F76" s="195"/>
      <c r="G76" s="191" t="s">
        <v>367</v>
      </c>
      <c r="H76" s="192"/>
      <c r="I76" s="191">
        <v>22222222222</v>
      </c>
      <c r="J76" s="191" t="s">
        <v>363</v>
      </c>
      <c r="K76" s="195"/>
      <c r="L76" s="194"/>
      <c r="M76" s="194"/>
      <c r="N76" s="194"/>
      <c r="O76" s="194"/>
      <c r="P76" s="198"/>
      <c r="Q76" s="198"/>
      <c r="R76" s="198"/>
      <c r="S76" s="198"/>
      <c r="T76" s="198"/>
      <c r="U76" s="198"/>
      <c r="V76" s="198"/>
      <c r="W76" s="198"/>
      <c r="X76" s="198"/>
      <c r="Y76" s="198"/>
      <c r="Z76" s="198"/>
    </row>
    <row r="77" spans="5:26" ht="45.6">
      <c r="E77" s="196"/>
      <c r="F77" s="195"/>
      <c r="G77" s="191" t="s">
        <v>368</v>
      </c>
      <c r="H77" s="192"/>
      <c r="I77" s="191" t="s">
        <v>357</v>
      </c>
      <c r="J77" s="191" t="s">
        <v>363</v>
      </c>
      <c r="K77" s="195"/>
      <c r="L77" s="194"/>
      <c r="M77" s="194"/>
      <c r="N77" s="194"/>
      <c r="O77" s="194"/>
      <c r="P77" s="198"/>
      <c r="Q77" s="198"/>
      <c r="R77" s="198"/>
      <c r="S77" s="198"/>
      <c r="T77" s="198"/>
      <c r="U77" s="198"/>
      <c r="V77" s="198"/>
      <c r="W77" s="198"/>
      <c r="X77" s="198"/>
      <c r="Y77" s="198"/>
      <c r="Z77" s="198"/>
    </row>
    <row r="78" spans="5:26" ht="45.6">
      <c r="E78" s="196"/>
      <c r="F78" s="195"/>
      <c r="G78" s="191" t="s">
        <v>369</v>
      </c>
      <c r="H78" s="192"/>
      <c r="I78" s="195"/>
      <c r="J78" s="191" t="s">
        <v>363</v>
      </c>
      <c r="K78" s="195"/>
      <c r="L78" s="194"/>
      <c r="M78" s="194"/>
      <c r="N78" s="194"/>
      <c r="O78" s="194"/>
      <c r="P78" s="198"/>
      <c r="Q78" s="198"/>
      <c r="R78" s="198"/>
      <c r="S78" s="198"/>
      <c r="T78" s="198"/>
      <c r="U78" s="198"/>
      <c r="V78" s="198"/>
      <c r="W78" s="198"/>
      <c r="X78" s="198"/>
      <c r="Y78" s="198"/>
      <c r="Z78" s="198"/>
    </row>
    <row r="79" spans="5:26" ht="45.6">
      <c r="E79" s="196"/>
      <c r="F79" s="195"/>
      <c r="G79" s="191" t="s">
        <v>370</v>
      </c>
      <c r="H79" s="192"/>
      <c r="I79" s="195"/>
      <c r="J79" s="191" t="s">
        <v>363</v>
      </c>
      <c r="K79" s="195"/>
      <c r="L79" s="194"/>
      <c r="M79" s="194"/>
      <c r="N79" s="194"/>
      <c r="O79" s="194"/>
      <c r="P79" s="198"/>
      <c r="Q79" s="198"/>
      <c r="R79" s="198"/>
      <c r="S79" s="198"/>
      <c r="T79" s="198"/>
      <c r="U79" s="198"/>
      <c r="V79" s="198"/>
      <c r="W79" s="198"/>
      <c r="X79" s="198"/>
      <c r="Y79" s="198"/>
      <c r="Z79" s="198"/>
    </row>
    <row r="80" spans="5:26" ht="34.200000000000003">
      <c r="E80" s="196"/>
      <c r="F80" s="195"/>
      <c r="G80" s="191" t="s">
        <v>371</v>
      </c>
      <c r="H80" s="192"/>
      <c r="I80" s="195"/>
      <c r="J80" s="195" t="s">
        <v>333</v>
      </c>
      <c r="K80" s="195"/>
      <c r="L80" s="194"/>
      <c r="M80" s="194"/>
      <c r="N80" s="194"/>
      <c r="O80" s="194"/>
      <c r="P80" s="198"/>
      <c r="Q80" s="198"/>
      <c r="R80" s="198"/>
      <c r="S80" s="198"/>
      <c r="T80" s="198"/>
      <c r="U80" s="198"/>
      <c r="V80" s="198"/>
      <c r="W80" s="198"/>
      <c r="X80" s="198"/>
      <c r="Y80" s="198"/>
      <c r="Z80" s="198"/>
    </row>
    <row r="81" spans="5:26">
      <c r="E81" s="196"/>
      <c r="F81" s="195"/>
      <c r="G81" s="195" t="s">
        <v>286</v>
      </c>
      <c r="H81" s="192"/>
      <c r="I81" s="195"/>
      <c r="J81" s="195" t="s">
        <v>282</v>
      </c>
      <c r="K81" s="195"/>
      <c r="L81" s="194"/>
      <c r="M81" s="194"/>
      <c r="N81" s="194"/>
      <c r="O81" s="194"/>
      <c r="P81" s="198"/>
      <c r="Q81" s="198"/>
      <c r="R81" s="198"/>
      <c r="S81" s="198"/>
      <c r="T81" s="198"/>
      <c r="U81" s="198"/>
      <c r="V81" s="198"/>
      <c r="W81" s="198"/>
      <c r="X81" s="198"/>
      <c r="Y81" s="198"/>
      <c r="Z81" s="198"/>
    </row>
    <row r="82" spans="5:26" ht="45.6">
      <c r="E82" s="196"/>
      <c r="F82" s="195"/>
      <c r="G82" s="191" t="s">
        <v>372</v>
      </c>
      <c r="H82" s="192"/>
      <c r="I82" s="195"/>
      <c r="J82" s="195" t="s">
        <v>288</v>
      </c>
      <c r="K82" s="195"/>
      <c r="L82" s="194"/>
      <c r="M82" s="194"/>
      <c r="N82" s="194"/>
      <c r="O82" s="194"/>
      <c r="P82" s="198"/>
      <c r="Q82" s="198"/>
      <c r="R82" s="198"/>
      <c r="S82" s="198"/>
      <c r="T82" s="198"/>
      <c r="U82" s="198"/>
      <c r="V82" s="198"/>
      <c r="W82" s="198"/>
      <c r="X82" s="198"/>
      <c r="Y82" s="198"/>
      <c r="Z82" s="198"/>
    </row>
    <row r="83" spans="5:26" ht="30.6">
      <c r="E83" s="196"/>
      <c r="F83" s="195"/>
      <c r="G83" s="195" t="s">
        <v>289</v>
      </c>
      <c r="H83" s="192"/>
      <c r="I83" s="195"/>
      <c r="J83" s="195" t="s">
        <v>282</v>
      </c>
      <c r="K83" s="195"/>
      <c r="L83" s="194"/>
      <c r="M83" s="194"/>
      <c r="N83" s="194"/>
      <c r="O83" s="194"/>
      <c r="P83" s="198"/>
      <c r="Q83" s="198"/>
      <c r="R83" s="198"/>
      <c r="S83" s="198"/>
      <c r="T83" s="198"/>
      <c r="U83" s="198"/>
      <c r="V83" s="198"/>
      <c r="W83" s="198"/>
      <c r="X83" s="198"/>
      <c r="Y83" s="198"/>
      <c r="Z83" s="198"/>
    </row>
    <row r="84" spans="5:26" ht="40.799999999999997">
      <c r="E84" s="196"/>
      <c r="F84" s="195"/>
      <c r="G84" s="195" t="s">
        <v>290</v>
      </c>
      <c r="H84" s="192"/>
      <c r="I84" s="195"/>
      <c r="J84" s="195" t="s">
        <v>291</v>
      </c>
      <c r="K84" s="195"/>
      <c r="L84" s="194"/>
      <c r="M84" s="194"/>
      <c r="N84" s="194"/>
      <c r="O84" s="194"/>
      <c r="P84" s="198"/>
      <c r="Q84" s="198"/>
      <c r="R84" s="198"/>
      <c r="S84" s="198"/>
      <c r="T84" s="198"/>
      <c r="U84" s="198"/>
      <c r="V84" s="198"/>
      <c r="W84" s="198"/>
      <c r="X84" s="198"/>
      <c r="Y84" s="198"/>
      <c r="Z84" s="198"/>
    </row>
    <row r="85" spans="5:26" ht="20.399999999999999">
      <c r="E85" s="196"/>
      <c r="F85" s="195"/>
      <c r="G85" s="195" t="s">
        <v>292</v>
      </c>
      <c r="H85" s="192"/>
      <c r="I85" s="195"/>
      <c r="J85" s="195" t="s">
        <v>282</v>
      </c>
      <c r="K85" s="195"/>
      <c r="L85" s="194"/>
      <c r="M85" s="194"/>
      <c r="N85" s="194"/>
      <c r="O85" s="194"/>
      <c r="P85" s="198"/>
      <c r="Q85" s="198"/>
      <c r="R85" s="198"/>
      <c r="S85" s="198"/>
      <c r="T85" s="198"/>
      <c r="U85" s="198"/>
      <c r="V85" s="198"/>
      <c r="W85" s="198"/>
      <c r="X85" s="198"/>
      <c r="Y85" s="198"/>
      <c r="Z85" s="198"/>
    </row>
    <row r="86" spans="5:26" ht="45.6">
      <c r="E86" s="196"/>
      <c r="F86" s="195"/>
      <c r="G86" s="191" t="s">
        <v>373</v>
      </c>
      <c r="H86" s="192"/>
      <c r="I86" s="195"/>
      <c r="J86" s="191" t="s">
        <v>294</v>
      </c>
      <c r="K86" s="195"/>
      <c r="L86" s="194"/>
      <c r="M86" s="194"/>
      <c r="N86" s="194"/>
      <c r="O86" s="194"/>
      <c r="P86" s="198"/>
      <c r="Q86" s="198"/>
      <c r="R86" s="198"/>
      <c r="S86" s="198"/>
      <c r="T86" s="198"/>
      <c r="U86" s="198"/>
      <c r="V86" s="198"/>
      <c r="W86" s="198"/>
      <c r="X86" s="198"/>
      <c r="Y86" s="198"/>
      <c r="Z86" s="198"/>
    </row>
    <row r="87" spans="5:26" ht="45.6">
      <c r="E87" s="196"/>
      <c r="F87" s="195"/>
      <c r="G87" s="191" t="s">
        <v>374</v>
      </c>
      <c r="H87" s="192"/>
      <c r="I87" s="195"/>
      <c r="J87" s="195" t="s">
        <v>296</v>
      </c>
      <c r="K87" s="195"/>
      <c r="L87" s="194"/>
      <c r="M87" s="194"/>
      <c r="N87" s="194"/>
      <c r="O87" s="194"/>
      <c r="P87" s="198"/>
      <c r="Q87" s="198"/>
      <c r="R87" s="198"/>
      <c r="S87" s="198"/>
      <c r="T87" s="198"/>
      <c r="U87" s="198"/>
      <c r="V87" s="198"/>
      <c r="W87" s="198"/>
      <c r="X87" s="198"/>
      <c r="Y87" s="198"/>
      <c r="Z87" s="198"/>
    </row>
    <row r="88" spans="5:26" ht="34.200000000000003">
      <c r="E88" s="190">
        <v>7</v>
      </c>
      <c r="F88" s="191" t="s">
        <v>375</v>
      </c>
      <c r="G88" s="191" t="s">
        <v>376</v>
      </c>
      <c r="H88" s="192"/>
      <c r="I88" s="195"/>
      <c r="J88" s="191" t="s">
        <v>294</v>
      </c>
      <c r="K88" s="195"/>
      <c r="L88" s="194"/>
      <c r="M88" s="194"/>
      <c r="N88" s="194"/>
      <c r="O88" s="194"/>
      <c r="P88" s="198"/>
      <c r="Q88" s="198"/>
      <c r="R88" s="198"/>
      <c r="S88" s="198"/>
      <c r="T88" s="198"/>
      <c r="U88" s="198"/>
      <c r="V88" s="198"/>
      <c r="W88" s="198"/>
      <c r="X88" s="198"/>
      <c r="Y88" s="198"/>
      <c r="Z88" s="198"/>
    </row>
    <row r="89" spans="5:26" ht="34.200000000000003">
      <c r="E89" s="196"/>
      <c r="F89" s="195"/>
      <c r="G89" s="191" t="s">
        <v>377</v>
      </c>
      <c r="H89" s="192"/>
      <c r="I89" s="195"/>
      <c r="J89" s="195" t="s">
        <v>378</v>
      </c>
      <c r="K89" s="195"/>
      <c r="L89" s="194"/>
      <c r="M89" s="194"/>
      <c r="N89" s="194"/>
      <c r="O89" s="194"/>
      <c r="P89" s="198"/>
      <c r="Q89" s="198"/>
      <c r="R89" s="198"/>
      <c r="S89" s="198"/>
      <c r="T89" s="198"/>
      <c r="U89" s="198"/>
      <c r="V89" s="198"/>
      <c r="W89" s="198"/>
      <c r="X89" s="198"/>
      <c r="Y89" s="198"/>
      <c r="Z89" s="198"/>
    </row>
    <row r="90" spans="5:26" ht="45.6">
      <c r="E90" s="196"/>
      <c r="F90" s="195"/>
      <c r="G90" s="191" t="s">
        <v>379</v>
      </c>
      <c r="H90" s="192"/>
      <c r="I90" s="191" t="s">
        <v>380</v>
      </c>
      <c r="J90" s="195" t="s">
        <v>339</v>
      </c>
      <c r="K90" s="195"/>
      <c r="L90" s="194"/>
      <c r="M90" s="194"/>
      <c r="N90" s="194"/>
      <c r="O90" s="194"/>
      <c r="P90" s="198"/>
      <c r="Q90" s="198"/>
      <c r="R90" s="198"/>
      <c r="S90" s="198"/>
      <c r="T90" s="198"/>
      <c r="U90" s="198"/>
      <c r="V90" s="198"/>
      <c r="W90" s="198"/>
      <c r="X90" s="198"/>
      <c r="Y90" s="198"/>
      <c r="Z90" s="198"/>
    </row>
    <row r="91" spans="5:26" ht="45.6">
      <c r="E91" s="196"/>
      <c r="F91" s="195"/>
      <c r="G91" s="191" t="s">
        <v>381</v>
      </c>
      <c r="H91" s="192"/>
      <c r="I91" s="191" t="s">
        <v>382</v>
      </c>
      <c r="J91" s="195" t="s">
        <v>339</v>
      </c>
      <c r="K91" s="195"/>
      <c r="L91" s="194"/>
      <c r="M91" s="194"/>
      <c r="N91" s="194"/>
      <c r="O91" s="194"/>
      <c r="P91" s="198"/>
      <c r="Q91" s="198"/>
      <c r="R91" s="198"/>
      <c r="S91" s="198"/>
      <c r="T91" s="198"/>
      <c r="U91" s="198"/>
      <c r="V91" s="198"/>
      <c r="W91" s="198"/>
      <c r="X91" s="198"/>
      <c r="Y91" s="198"/>
      <c r="Z91" s="198"/>
    </row>
    <row r="92" spans="5:26" ht="45.6">
      <c r="E92" s="196"/>
      <c r="F92" s="195"/>
      <c r="G92" s="191" t="s">
        <v>383</v>
      </c>
      <c r="H92" s="192"/>
      <c r="I92" s="191">
        <v>12345</v>
      </c>
      <c r="J92" s="195" t="s">
        <v>339</v>
      </c>
      <c r="K92" s="195"/>
      <c r="L92" s="194"/>
      <c r="M92" s="194"/>
      <c r="N92" s="194"/>
      <c r="O92" s="194"/>
      <c r="P92" s="198"/>
      <c r="Q92" s="198"/>
      <c r="R92" s="198"/>
      <c r="S92" s="198"/>
      <c r="T92" s="198"/>
      <c r="U92" s="198"/>
      <c r="V92" s="198"/>
      <c r="W92" s="198"/>
      <c r="X92" s="198"/>
      <c r="Y92" s="198"/>
      <c r="Z92" s="198"/>
    </row>
    <row r="93" spans="5:26" ht="45.6">
      <c r="E93" s="196"/>
      <c r="F93" s="195"/>
      <c r="G93" s="191" t="s">
        <v>384</v>
      </c>
      <c r="H93" s="192"/>
      <c r="I93" s="191" t="s">
        <v>385</v>
      </c>
      <c r="J93" s="195" t="s">
        <v>339</v>
      </c>
      <c r="K93" s="195"/>
      <c r="L93" s="194"/>
      <c r="M93" s="194"/>
      <c r="N93" s="194"/>
      <c r="O93" s="194"/>
      <c r="P93" s="198"/>
      <c r="Q93" s="198"/>
      <c r="R93" s="198"/>
      <c r="S93" s="198"/>
      <c r="T93" s="198"/>
      <c r="U93" s="198"/>
      <c r="V93" s="198"/>
      <c r="W93" s="198"/>
      <c r="X93" s="198"/>
      <c r="Y93" s="198"/>
      <c r="Z93" s="198"/>
    </row>
    <row r="94" spans="5:26" ht="68.400000000000006">
      <c r="E94" s="196"/>
      <c r="F94" s="195"/>
      <c r="G94" s="191" t="s">
        <v>386</v>
      </c>
      <c r="H94" s="192"/>
      <c r="I94" s="195"/>
      <c r="J94" s="191" t="s">
        <v>346</v>
      </c>
      <c r="K94" s="195"/>
      <c r="L94" s="194"/>
      <c r="M94" s="194"/>
      <c r="N94" s="194"/>
      <c r="O94" s="194"/>
      <c r="P94" s="198"/>
      <c r="Q94" s="198"/>
      <c r="R94" s="198"/>
      <c r="S94" s="198"/>
      <c r="T94" s="198"/>
      <c r="U94" s="198"/>
      <c r="V94" s="198"/>
      <c r="W94" s="198"/>
      <c r="X94" s="198"/>
      <c r="Y94" s="198"/>
      <c r="Z94" s="198"/>
    </row>
    <row r="95" spans="5:26">
      <c r="E95" s="196"/>
      <c r="F95" s="195"/>
      <c r="G95" s="191" t="s">
        <v>281</v>
      </c>
      <c r="H95" s="192"/>
      <c r="I95" s="195"/>
      <c r="J95" s="195" t="s">
        <v>282</v>
      </c>
      <c r="K95" s="195"/>
      <c r="L95" s="194"/>
      <c r="M95" s="194"/>
      <c r="N95" s="194"/>
      <c r="O95" s="194"/>
      <c r="P95" s="198"/>
      <c r="Q95" s="198"/>
      <c r="R95" s="198"/>
      <c r="S95" s="198"/>
      <c r="T95" s="198"/>
      <c r="U95" s="198"/>
      <c r="V95" s="198"/>
      <c r="W95" s="198"/>
      <c r="X95" s="198"/>
      <c r="Y95" s="198"/>
      <c r="Z95" s="198"/>
    </row>
    <row r="96" spans="5:26" ht="45.6">
      <c r="E96" s="196"/>
      <c r="F96" s="195"/>
      <c r="G96" s="191" t="s">
        <v>387</v>
      </c>
      <c r="H96" s="192"/>
      <c r="I96" s="195"/>
      <c r="J96" s="195" t="s">
        <v>339</v>
      </c>
      <c r="K96" s="195"/>
      <c r="L96" s="194"/>
      <c r="M96" s="194"/>
      <c r="N96" s="194"/>
      <c r="O96" s="194"/>
      <c r="P96" s="198"/>
      <c r="Q96" s="198"/>
      <c r="R96" s="198"/>
      <c r="S96" s="198"/>
      <c r="T96" s="198"/>
      <c r="U96" s="198"/>
      <c r="V96" s="198"/>
      <c r="W96" s="198"/>
      <c r="X96" s="198"/>
      <c r="Y96" s="198"/>
      <c r="Z96" s="198"/>
    </row>
    <row r="97" spans="5:26" ht="57">
      <c r="E97" s="196"/>
      <c r="F97" s="195"/>
      <c r="G97" s="191" t="s">
        <v>388</v>
      </c>
      <c r="H97" s="192"/>
      <c r="I97" s="191"/>
      <c r="J97" s="191" t="s">
        <v>354</v>
      </c>
      <c r="K97" s="195"/>
      <c r="L97" s="194"/>
      <c r="M97" s="194"/>
      <c r="N97" s="194"/>
      <c r="O97" s="194"/>
      <c r="P97" s="198"/>
      <c r="Q97" s="198"/>
      <c r="R97" s="198"/>
      <c r="S97" s="198"/>
      <c r="T97" s="198"/>
      <c r="U97" s="198"/>
      <c r="V97" s="198"/>
      <c r="W97" s="198"/>
      <c r="X97" s="198"/>
      <c r="Y97" s="198"/>
      <c r="Z97" s="198"/>
    </row>
    <row r="98" spans="5:26" ht="57">
      <c r="E98" s="196"/>
      <c r="F98" s="195"/>
      <c r="G98" s="191" t="s">
        <v>389</v>
      </c>
      <c r="H98" s="192"/>
      <c r="I98" s="191" t="s">
        <v>313</v>
      </c>
      <c r="J98" s="191" t="s">
        <v>351</v>
      </c>
      <c r="K98" s="195"/>
      <c r="L98" s="194"/>
      <c r="M98" s="194"/>
      <c r="N98" s="194"/>
      <c r="O98" s="194"/>
      <c r="P98" s="198"/>
      <c r="Q98" s="198"/>
      <c r="R98" s="198"/>
      <c r="S98" s="198"/>
      <c r="T98" s="198"/>
      <c r="U98" s="198"/>
      <c r="V98" s="198"/>
      <c r="W98" s="198"/>
      <c r="X98" s="198"/>
      <c r="Y98" s="198"/>
      <c r="Z98" s="198"/>
    </row>
    <row r="99" spans="5:26" ht="57">
      <c r="E99" s="196"/>
      <c r="F99" s="195"/>
      <c r="G99" s="191" t="s">
        <v>390</v>
      </c>
      <c r="H99" s="192"/>
      <c r="I99" s="191" t="s">
        <v>341</v>
      </c>
      <c r="J99" s="191" t="s">
        <v>351</v>
      </c>
      <c r="K99" s="195"/>
      <c r="L99" s="194"/>
      <c r="M99" s="194"/>
      <c r="N99" s="194"/>
      <c r="O99" s="194"/>
      <c r="P99" s="198"/>
      <c r="Q99" s="198"/>
      <c r="R99" s="198"/>
      <c r="S99" s="198"/>
      <c r="T99" s="198"/>
      <c r="U99" s="198"/>
      <c r="V99" s="198"/>
      <c r="W99" s="198"/>
      <c r="X99" s="198"/>
      <c r="Y99" s="198"/>
      <c r="Z99" s="198"/>
    </row>
    <row r="100" spans="5:26" ht="57">
      <c r="E100" s="196"/>
      <c r="F100" s="195"/>
      <c r="G100" s="191" t="s">
        <v>391</v>
      </c>
      <c r="H100" s="192"/>
      <c r="I100" s="192">
        <v>241654</v>
      </c>
      <c r="J100" s="191" t="s">
        <v>354</v>
      </c>
      <c r="K100" s="195"/>
      <c r="L100" s="194"/>
      <c r="M100" s="194"/>
      <c r="N100" s="194"/>
      <c r="O100" s="194"/>
      <c r="P100" s="198"/>
      <c r="Q100" s="198"/>
      <c r="R100" s="198"/>
      <c r="S100" s="198"/>
      <c r="T100" s="198"/>
      <c r="U100" s="198"/>
      <c r="V100" s="198"/>
      <c r="W100" s="198"/>
      <c r="X100" s="198"/>
      <c r="Y100" s="198"/>
      <c r="Z100" s="198"/>
    </row>
    <row r="101" spans="5:26" ht="57">
      <c r="E101" s="196"/>
      <c r="F101" s="195"/>
      <c r="G101" s="191" t="s">
        <v>392</v>
      </c>
      <c r="H101" s="192"/>
      <c r="I101" s="191">
        <v>22222222</v>
      </c>
      <c r="J101" s="191" t="s">
        <v>351</v>
      </c>
      <c r="K101" s="195"/>
      <c r="L101" s="194"/>
      <c r="M101" s="194"/>
      <c r="N101" s="194"/>
      <c r="O101" s="194"/>
      <c r="P101" s="198"/>
      <c r="Q101" s="198"/>
      <c r="R101" s="198"/>
      <c r="S101" s="198"/>
      <c r="T101" s="198"/>
      <c r="U101" s="198"/>
      <c r="V101" s="198"/>
      <c r="W101" s="198"/>
      <c r="X101" s="198"/>
      <c r="Y101" s="198"/>
      <c r="Z101" s="198"/>
    </row>
    <row r="102" spans="5:26" ht="57">
      <c r="E102" s="196"/>
      <c r="F102" s="195"/>
      <c r="G102" s="191" t="s">
        <v>393</v>
      </c>
      <c r="H102" s="192"/>
      <c r="I102" s="191" t="s">
        <v>385</v>
      </c>
      <c r="J102" s="191" t="s">
        <v>351</v>
      </c>
      <c r="K102" s="195"/>
      <c r="L102" s="194"/>
      <c r="M102" s="194"/>
      <c r="N102" s="194"/>
      <c r="O102" s="194"/>
      <c r="P102" s="198"/>
      <c r="Q102" s="198"/>
      <c r="R102" s="198"/>
      <c r="S102" s="198"/>
      <c r="T102" s="198"/>
      <c r="U102" s="198"/>
      <c r="V102" s="198"/>
      <c r="W102" s="198"/>
      <c r="X102" s="198"/>
      <c r="Y102" s="198"/>
      <c r="Z102" s="198"/>
    </row>
    <row r="103" spans="5:26" ht="57">
      <c r="E103" s="196"/>
      <c r="F103" s="195"/>
      <c r="G103" s="191" t="s">
        <v>394</v>
      </c>
      <c r="H103" s="192"/>
      <c r="I103" s="195"/>
      <c r="J103" s="191" t="s">
        <v>351</v>
      </c>
      <c r="K103" s="195"/>
      <c r="L103" s="194"/>
      <c r="M103" s="194"/>
      <c r="N103" s="194"/>
      <c r="O103" s="194"/>
      <c r="P103" s="198"/>
      <c r="Q103" s="198"/>
      <c r="R103" s="198"/>
      <c r="S103" s="198"/>
      <c r="T103" s="198"/>
      <c r="U103" s="198"/>
      <c r="V103" s="198"/>
      <c r="W103" s="198"/>
      <c r="X103" s="198"/>
      <c r="Y103" s="198"/>
      <c r="Z103" s="198"/>
    </row>
    <row r="104" spans="5:26" ht="57">
      <c r="E104" s="196"/>
      <c r="F104" s="195"/>
      <c r="G104" s="191" t="s">
        <v>395</v>
      </c>
      <c r="H104" s="192"/>
      <c r="I104" s="195"/>
      <c r="J104" s="191" t="s">
        <v>351</v>
      </c>
      <c r="K104" s="195"/>
      <c r="L104" s="194"/>
      <c r="M104" s="194"/>
      <c r="N104" s="194"/>
      <c r="O104" s="194"/>
      <c r="P104" s="198"/>
      <c r="Q104" s="198"/>
      <c r="R104" s="198"/>
      <c r="S104" s="198"/>
      <c r="T104" s="198"/>
      <c r="U104" s="198"/>
      <c r="V104" s="198"/>
      <c r="W104" s="198"/>
      <c r="X104" s="198"/>
      <c r="Y104" s="198"/>
      <c r="Z104" s="198"/>
    </row>
    <row r="105" spans="5:26" ht="57">
      <c r="E105" s="196"/>
      <c r="F105" s="195"/>
      <c r="G105" s="191" t="s">
        <v>396</v>
      </c>
      <c r="H105" s="192"/>
      <c r="I105" s="191"/>
      <c r="J105" s="191" t="s">
        <v>366</v>
      </c>
      <c r="K105" s="195"/>
      <c r="L105" s="194"/>
      <c r="M105" s="194"/>
      <c r="N105" s="194"/>
      <c r="O105" s="194"/>
      <c r="P105" s="198"/>
      <c r="Q105" s="198"/>
      <c r="R105" s="198"/>
      <c r="S105" s="198"/>
      <c r="T105" s="198"/>
      <c r="U105" s="198"/>
      <c r="V105" s="198"/>
      <c r="W105" s="198"/>
      <c r="X105" s="198"/>
      <c r="Y105" s="198"/>
      <c r="Z105" s="198"/>
    </row>
    <row r="106" spans="5:26" ht="57">
      <c r="E106" s="196"/>
      <c r="F106" s="195"/>
      <c r="G106" s="191" t="s">
        <v>397</v>
      </c>
      <c r="H106" s="192"/>
      <c r="I106" s="191" t="s">
        <v>313</v>
      </c>
      <c r="J106" s="191" t="s">
        <v>363</v>
      </c>
      <c r="K106" s="195"/>
      <c r="L106" s="194"/>
      <c r="M106" s="194"/>
      <c r="N106" s="194"/>
      <c r="O106" s="194"/>
      <c r="P106" s="198"/>
      <c r="Q106" s="198"/>
      <c r="R106" s="198"/>
      <c r="S106" s="198"/>
      <c r="T106" s="198"/>
      <c r="U106" s="198"/>
      <c r="V106" s="198"/>
      <c r="W106" s="198"/>
      <c r="X106" s="198"/>
      <c r="Y106" s="198"/>
      <c r="Z106" s="198"/>
    </row>
    <row r="107" spans="5:26" ht="57">
      <c r="E107" s="196"/>
      <c r="F107" s="195"/>
      <c r="G107" s="191" t="s">
        <v>398</v>
      </c>
      <c r="H107" s="192"/>
      <c r="I107" s="191" t="s">
        <v>341</v>
      </c>
      <c r="J107" s="191" t="s">
        <v>363</v>
      </c>
      <c r="K107" s="195"/>
      <c r="L107" s="194"/>
      <c r="M107" s="194"/>
      <c r="N107" s="194"/>
      <c r="O107" s="194"/>
      <c r="P107" s="198"/>
      <c r="Q107" s="198"/>
      <c r="R107" s="198"/>
      <c r="S107" s="198"/>
      <c r="T107" s="198"/>
      <c r="U107" s="198"/>
      <c r="V107" s="198"/>
      <c r="W107" s="198"/>
      <c r="X107" s="198"/>
      <c r="Y107" s="198"/>
      <c r="Z107" s="198"/>
    </row>
    <row r="108" spans="5:26" ht="57">
      <c r="E108" s="196"/>
      <c r="F108" s="195"/>
      <c r="G108" s="191" t="s">
        <v>399</v>
      </c>
      <c r="H108" s="192"/>
      <c r="I108" s="192">
        <v>241654</v>
      </c>
      <c r="J108" s="191" t="s">
        <v>366</v>
      </c>
      <c r="K108" s="195"/>
      <c r="L108" s="194"/>
      <c r="M108" s="194"/>
      <c r="N108" s="194"/>
      <c r="O108" s="194"/>
      <c r="P108" s="198"/>
      <c r="Q108" s="198"/>
      <c r="R108" s="198"/>
      <c r="S108" s="198"/>
      <c r="T108" s="198"/>
      <c r="U108" s="198"/>
      <c r="V108" s="198"/>
      <c r="W108" s="198"/>
      <c r="X108" s="198"/>
      <c r="Y108" s="198"/>
      <c r="Z108" s="198"/>
    </row>
    <row r="109" spans="5:26" ht="57">
      <c r="E109" s="196"/>
      <c r="F109" s="195"/>
      <c r="G109" s="191" t="s">
        <v>400</v>
      </c>
      <c r="H109" s="192"/>
      <c r="I109" s="191">
        <v>22222222</v>
      </c>
      <c r="J109" s="191" t="s">
        <v>363</v>
      </c>
      <c r="K109" s="195"/>
      <c r="L109" s="194"/>
      <c r="M109" s="194"/>
      <c r="N109" s="194"/>
      <c r="O109" s="194"/>
      <c r="P109" s="198"/>
      <c r="Q109" s="198"/>
      <c r="R109" s="198"/>
      <c r="S109" s="198"/>
      <c r="T109" s="198"/>
      <c r="U109" s="198"/>
      <c r="V109" s="198"/>
      <c r="W109" s="198"/>
      <c r="X109" s="198"/>
      <c r="Y109" s="198"/>
      <c r="Z109" s="198"/>
    </row>
    <row r="110" spans="5:26" ht="57">
      <c r="E110" s="196"/>
      <c r="F110" s="195"/>
      <c r="G110" s="191" t="s">
        <v>401</v>
      </c>
      <c r="H110" s="192"/>
      <c r="I110" s="191" t="s">
        <v>385</v>
      </c>
      <c r="J110" s="191" t="s">
        <v>363</v>
      </c>
      <c r="K110" s="195"/>
      <c r="L110" s="194"/>
      <c r="M110" s="194"/>
      <c r="N110" s="194"/>
      <c r="O110" s="194"/>
      <c r="P110" s="198"/>
      <c r="Q110" s="198"/>
      <c r="R110" s="198"/>
      <c r="S110" s="198"/>
      <c r="T110" s="198"/>
      <c r="U110" s="198"/>
      <c r="V110" s="198"/>
      <c r="W110" s="198"/>
      <c r="X110" s="198"/>
      <c r="Y110" s="198"/>
      <c r="Z110" s="198"/>
    </row>
    <row r="111" spans="5:26" ht="57">
      <c r="E111" s="196"/>
      <c r="F111" s="195"/>
      <c r="G111" s="191" t="s">
        <v>402</v>
      </c>
      <c r="H111" s="192"/>
      <c r="I111" s="195"/>
      <c r="J111" s="191" t="s">
        <v>363</v>
      </c>
      <c r="K111" s="195"/>
      <c r="L111" s="194"/>
      <c r="M111" s="194"/>
      <c r="N111" s="194"/>
      <c r="O111" s="194"/>
      <c r="P111" s="198"/>
      <c r="Q111" s="198"/>
      <c r="R111" s="198"/>
      <c r="S111" s="198"/>
      <c r="T111" s="198"/>
      <c r="U111" s="198"/>
      <c r="V111" s="198"/>
      <c r="W111" s="198"/>
      <c r="X111" s="198"/>
      <c r="Y111" s="198"/>
      <c r="Z111" s="198"/>
    </row>
    <row r="112" spans="5:26" ht="57">
      <c r="E112" s="196"/>
      <c r="F112" s="195"/>
      <c r="G112" s="191" t="s">
        <v>403</v>
      </c>
      <c r="H112" s="192"/>
      <c r="I112" s="195"/>
      <c r="J112" s="191" t="s">
        <v>363</v>
      </c>
      <c r="K112" s="195"/>
      <c r="L112" s="194"/>
      <c r="M112" s="194"/>
      <c r="N112" s="194"/>
      <c r="O112" s="194"/>
      <c r="P112" s="198"/>
      <c r="Q112" s="198"/>
      <c r="R112" s="198"/>
      <c r="S112" s="198"/>
      <c r="T112" s="198"/>
      <c r="U112" s="198"/>
      <c r="V112" s="198"/>
      <c r="W112" s="198"/>
      <c r="X112" s="198"/>
      <c r="Y112" s="198"/>
      <c r="Z112" s="198"/>
    </row>
    <row r="113" spans="5:26" ht="57">
      <c r="E113" s="196"/>
      <c r="F113" s="195"/>
      <c r="G113" s="191" t="s">
        <v>404</v>
      </c>
      <c r="H113" s="192"/>
      <c r="I113" s="195"/>
      <c r="J113" s="195" t="s">
        <v>333</v>
      </c>
      <c r="K113" s="195"/>
      <c r="L113" s="194"/>
      <c r="M113" s="194"/>
      <c r="N113" s="194"/>
      <c r="O113" s="194"/>
      <c r="P113" s="198"/>
      <c r="Q113" s="198"/>
      <c r="R113" s="198"/>
      <c r="S113" s="198"/>
      <c r="T113" s="198"/>
      <c r="U113" s="198"/>
      <c r="V113" s="198"/>
      <c r="W113" s="198"/>
      <c r="X113" s="198"/>
      <c r="Y113" s="198"/>
      <c r="Z113" s="198"/>
    </row>
    <row r="114" spans="5:26">
      <c r="E114" s="196"/>
      <c r="F114" s="195"/>
      <c r="G114" s="195" t="s">
        <v>286</v>
      </c>
      <c r="H114" s="192"/>
      <c r="I114" s="195"/>
      <c r="J114" s="195" t="s">
        <v>282</v>
      </c>
      <c r="K114" s="195"/>
      <c r="L114" s="194"/>
      <c r="M114" s="194"/>
      <c r="N114" s="194"/>
      <c r="O114" s="194"/>
      <c r="P114" s="198"/>
      <c r="Q114" s="198"/>
      <c r="R114" s="198"/>
      <c r="S114" s="198"/>
      <c r="T114" s="198"/>
      <c r="U114" s="198"/>
      <c r="V114" s="198"/>
      <c r="W114" s="198"/>
      <c r="X114" s="198"/>
      <c r="Y114" s="198"/>
      <c r="Z114" s="198"/>
    </row>
    <row r="115" spans="5:26" ht="68.400000000000006">
      <c r="E115" s="196"/>
      <c r="F115" s="195"/>
      <c r="G115" s="191" t="s">
        <v>405</v>
      </c>
      <c r="H115" s="192"/>
      <c r="I115" s="195"/>
      <c r="J115" s="195" t="s">
        <v>288</v>
      </c>
      <c r="K115" s="195"/>
      <c r="L115" s="194"/>
      <c r="M115" s="194"/>
      <c r="N115" s="194"/>
      <c r="O115" s="194"/>
      <c r="P115" s="198"/>
      <c r="Q115" s="198"/>
      <c r="R115" s="198"/>
      <c r="S115" s="198"/>
      <c r="T115" s="198"/>
      <c r="U115" s="198"/>
      <c r="V115" s="198"/>
      <c r="W115" s="198"/>
      <c r="X115" s="198"/>
      <c r="Y115" s="198"/>
      <c r="Z115" s="198"/>
    </row>
    <row r="116" spans="5:26" ht="30.6">
      <c r="E116" s="196"/>
      <c r="F116" s="195"/>
      <c r="G116" s="195" t="s">
        <v>289</v>
      </c>
      <c r="H116" s="192"/>
      <c r="I116" s="195"/>
      <c r="J116" s="195" t="s">
        <v>282</v>
      </c>
      <c r="K116" s="195"/>
      <c r="L116" s="194"/>
      <c r="M116" s="194"/>
      <c r="N116" s="194"/>
      <c r="O116" s="194"/>
      <c r="P116" s="198"/>
      <c r="Q116" s="198"/>
      <c r="R116" s="198"/>
      <c r="S116" s="198"/>
      <c r="T116" s="198"/>
      <c r="U116" s="198"/>
      <c r="V116" s="198"/>
      <c r="W116" s="198"/>
      <c r="X116" s="198"/>
      <c r="Y116" s="198"/>
      <c r="Z116" s="198"/>
    </row>
    <row r="117" spans="5:26" ht="30.6">
      <c r="E117" s="196"/>
      <c r="F117" s="195"/>
      <c r="G117" s="195" t="s">
        <v>290</v>
      </c>
      <c r="H117" s="192"/>
      <c r="I117" s="195"/>
      <c r="J117" s="195" t="s">
        <v>406</v>
      </c>
      <c r="K117" s="195"/>
      <c r="L117" s="194"/>
      <c r="M117" s="194"/>
      <c r="N117" s="194"/>
      <c r="O117" s="194"/>
      <c r="P117" s="198"/>
      <c r="Q117" s="198"/>
      <c r="R117" s="198"/>
      <c r="S117" s="198"/>
      <c r="T117" s="198"/>
      <c r="U117" s="198"/>
      <c r="V117" s="198"/>
      <c r="W117" s="198"/>
      <c r="X117" s="198"/>
      <c r="Y117" s="198"/>
      <c r="Z117" s="198"/>
    </row>
    <row r="118" spans="5:26" ht="20.399999999999999">
      <c r="E118" s="196"/>
      <c r="F118" s="195"/>
      <c r="G118" s="195" t="s">
        <v>292</v>
      </c>
      <c r="H118" s="192"/>
      <c r="I118" s="195"/>
      <c r="J118" s="195" t="s">
        <v>282</v>
      </c>
      <c r="K118" s="195"/>
      <c r="L118" s="194"/>
      <c r="M118" s="194"/>
      <c r="N118" s="194"/>
      <c r="O118" s="194"/>
      <c r="P118" s="198"/>
      <c r="Q118" s="198"/>
      <c r="R118" s="198"/>
      <c r="S118" s="198"/>
      <c r="T118" s="198"/>
      <c r="U118" s="198"/>
      <c r="V118" s="198"/>
      <c r="W118" s="198"/>
      <c r="X118" s="198"/>
      <c r="Y118" s="198"/>
      <c r="Z118" s="198"/>
    </row>
    <row r="119" spans="5:26" ht="68.400000000000006">
      <c r="E119" s="196"/>
      <c r="F119" s="195"/>
      <c r="G119" s="191" t="s">
        <v>407</v>
      </c>
      <c r="H119" s="192"/>
      <c r="I119" s="195"/>
      <c r="J119" s="195" t="s">
        <v>408</v>
      </c>
      <c r="K119" s="195"/>
      <c r="L119" s="194"/>
      <c r="M119" s="194"/>
      <c r="N119" s="194"/>
      <c r="O119" s="194"/>
      <c r="P119" s="198"/>
      <c r="Q119" s="198"/>
      <c r="R119" s="198"/>
      <c r="S119" s="198"/>
      <c r="T119" s="198"/>
      <c r="U119" s="198"/>
      <c r="V119" s="198"/>
      <c r="W119" s="198"/>
      <c r="X119" s="198"/>
      <c r="Y119" s="198"/>
      <c r="Z119" s="198"/>
    </row>
    <row r="120" spans="5:26" ht="68.400000000000006">
      <c r="E120" s="196"/>
      <c r="F120" s="195"/>
      <c r="G120" s="191" t="s">
        <v>409</v>
      </c>
      <c r="H120" s="192"/>
      <c r="I120" s="195"/>
      <c r="J120" s="195" t="s">
        <v>296</v>
      </c>
      <c r="K120" s="195"/>
      <c r="L120" s="194"/>
      <c r="M120" s="194"/>
      <c r="N120" s="194"/>
      <c r="O120" s="194"/>
      <c r="P120" s="198"/>
      <c r="Q120" s="198"/>
      <c r="R120" s="198"/>
      <c r="S120" s="198"/>
      <c r="T120" s="198"/>
      <c r="U120" s="198"/>
      <c r="V120" s="198"/>
      <c r="W120" s="198"/>
      <c r="X120" s="198"/>
      <c r="Y120" s="198"/>
      <c r="Z120" s="198"/>
    </row>
    <row r="121" spans="5:26" ht="22.8">
      <c r="E121" s="190">
        <v>8</v>
      </c>
      <c r="F121" s="191" t="s">
        <v>410</v>
      </c>
      <c r="G121" s="191" t="s">
        <v>376</v>
      </c>
      <c r="H121" s="192"/>
      <c r="I121" s="195"/>
      <c r="J121" s="195" t="s">
        <v>408</v>
      </c>
      <c r="K121" s="195"/>
      <c r="L121" s="194"/>
      <c r="M121" s="194"/>
      <c r="N121" s="194"/>
      <c r="O121" s="194"/>
      <c r="P121" s="198"/>
      <c r="Q121" s="198"/>
      <c r="R121" s="198"/>
      <c r="S121" s="198"/>
      <c r="T121" s="198"/>
      <c r="U121" s="198"/>
      <c r="V121" s="198"/>
      <c r="W121" s="198"/>
      <c r="X121" s="198"/>
      <c r="Y121" s="198"/>
      <c r="Z121" s="198"/>
    </row>
    <row r="122" spans="5:26" ht="34.200000000000003">
      <c r="E122" s="190"/>
      <c r="F122" s="195"/>
      <c r="G122" s="191" t="s">
        <v>411</v>
      </c>
      <c r="H122" s="192"/>
      <c r="I122" s="191" t="s">
        <v>313</v>
      </c>
      <c r="J122" s="195" t="s">
        <v>412</v>
      </c>
      <c r="K122" s="195"/>
      <c r="L122" s="194"/>
      <c r="M122" s="194"/>
      <c r="N122" s="194"/>
      <c r="O122" s="194"/>
      <c r="P122" s="198"/>
      <c r="Q122" s="198"/>
      <c r="R122" s="198"/>
      <c r="S122" s="198"/>
      <c r="T122" s="198"/>
      <c r="U122" s="198"/>
      <c r="V122" s="198"/>
      <c r="W122" s="198"/>
      <c r="X122" s="198"/>
      <c r="Y122" s="198"/>
      <c r="Z122" s="198"/>
    </row>
    <row r="123" spans="5:26" ht="34.200000000000003">
      <c r="E123" s="190"/>
      <c r="F123" s="195"/>
      <c r="G123" s="191" t="s">
        <v>413</v>
      </c>
      <c r="H123" s="192"/>
      <c r="I123" s="191" t="s">
        <v>341</v>
      </c>
      <c r="J123" s="195" t="s">
        <v>412</v>
      </c>
      <c r="K123" s="195"/>
      <c r="L123" s="194"/>
      <c r="M123" s="194"/>
      <c r="N123" s="194"/>
      <c r="O123" s="194"/>
      <c r="P123" s="198"/>
      <c r="Q123" s="198"/>
      <c r="R123" s="198"/>
      <c r="S123" s="198"/>
      <c r="T123" s="198"/>
      <c r="U123" s="198"/>
      <c r="V123" s="198"/>
      <c r="W123" s="198"/>
      <c r="X123" s="198"/>
      <c r="Y123" s="198"/>
      <c r="Z123" s="198"/>
    </row>
    <row r="124" spans="5:26" ht="34.200000000000003">
      <c r="E124" s="190"/>
      <c r="F124" s="195"/>
      <c r="G124" s="191" t="s">
        <v>414</v>
      </c>
      <c r="H124" s="192"/>
      <c r="I124" s="191">
        <v>1234</v>
      </c>
      <c r="J124" s="195" t="s">
        <v>412</v>
      </c>
      <c r="K124" s="195"/>
      <c r="L124" s="194"/>
      <c r="M124" s="194"/>
      <c r="N124" s="194"/>
      <c r="O124" s="194"/>
      <c r="P124" s="198"/>
      <c r="Q124" s="198"/>
      <c r="R124" s="198"/>
      <c r="S124" s="198"/>
      <c r="T124" s="198"/>
      <c r="U124" s="198"/>
      <c r="V124" s="198"/>
      <c r="W124" s="198"/>
      <c r="X124" s="198"/>
      <c r="Y124" s="198"/>
      <c r="Z124" s="198"/>
    </row>
    <row r="125" spans="5:26" ht="34.200000000000003">
      <c r="E125" s="190"/>
      <c r="F125" s="195"/>
      <c r="G125" s="191" t="s">
        <v>415</v>
      </c>
      <c r="H125" s="192"/>
      <c r="I125" s="191" t="s">
        <v>308</v>
      </c>
      <c r="J125" s="195" t="s">
        <v>412</v>
      </c>
      <c r="K125" s="195"/>
      <c r="L125" s="194"/>
      <c r="M125" s="194"/>
      <c r="N125" s="194"/>
      <c r="O125" s="194"/>
      <c r="P125" s="198"/>
      <c r="Q125" s="198"/>
      <c r="R125" s="198"/>
      <c r="S125" s="198"/>
      <c r="T125" s="198"/>
      <c r="U125" s="198"/>
      <c r="V125" s="198"/>
      <c r="W125" s="198"/>
      <c r="X125" s="198"/>
      <c r="Y125" s="198"/>
      <c r="Z125" s="198"/>
    </row>
    <row r="126" spans="5:26" ht="45.6">
      <c r="E126" s="190"/>
      <c r="F126" s="195"/>
      <c r="G126" s="199" t="s">
        <v>416</v>
      </c>
      <c r="H126" s="192"/>
      <c r="I126" s="195"/>
      <c r="J126" s="191" t="s">
        <v>417</v>
      </c>
      <c r="K126" s="195"/>
      <c r="L126" s="194"/>
      <c r="M126" s="194"/>
      <c r="N126" s="194"/>
      <c r="O126" s="194"/>
      <c r="P126" s="198"/>
      <c r="Q126" s="198"/>
      <c r="R126" s="198"/>
      <c r="S126" s="198"/>
      <c r="T126" s="198"/>
      <c r="U126" s="198"/>
      <c r="V126" s="198"/>
      <c r="W126" s="198"/>
      <c r="X126" s="198"/>
      <c r="Y126" s="198"/>
      <c r="Z126" s="198"/>
    </row>
    <row r="127" spans="5:26" ht="34.200000000000003">
      <c r="E127" s="190"/>
      <c r="F127" s="195"/>
      <c r="G127" s="191" t="s">
        <v>418</v>
      </c>
      <c r="H127" s="192"/>
      <c r="I127" s="191" t="s">
        <v>380</v>
      </c>
      <c r="J127" s="195" t="s">
        <v>412</v>
      </c>
      <c r="K127" s="195"/>
      <c r="L127" s="194"/>
      <c r="M127" s="194"/>
      <c r="N127" s="194"/>
      <c r="O127" s="194"/>
      <c r="P127" s="198"/>
      <c r="Q127" s="198"/>
      <c r="R127" s="198"/>
      <c r="S127" s="198"/>
      <c r="T127" s="198"/>
      <c r="U127" s="198"/>
      <c r="V127" s="198"/>
      <c r="W127" s="198"/>
      <c r="X127" s="198"/>
      <c r="Y127" s="198"/>
      <c r="Z127" s="198"/>
    </row>
    <row r="128" spans="5:26" ht="34.200000000000003">
      <c r="E128" s="190"/>
      <c r="F128" s="195"/>
      <c r="G128" s="191" t="s">
        <v>419</v>
      </c>
      <c r="H128" s="192"/>
      <c r="I128" s="191" t="s">
        <v>420</v>
      </c>
      <c r="J128" s="195" t="s">
        <v>421</v>
      </c>
      <c r="K128" s="195"/>
      <c r="L128" s="194"/>
      <c r="M128" s="194"/>
      <c r="N128" s="194"/>
      <c r="O128" s="194"/>
      <c r="P128" s="198"/>
      <c r="Q128" s="198"/>
      <c r="R128" s="198"/>
      <c r="S128" s="198"/>
      <c r="T128" s="198"/>
      <c r="U128" s="198"/>
      <c r="V128" s="198"/>
      <c r="W128" s="198"/>
      <c r="X128" s="198"/>
      <c r="Y128" s="198"/>
      <c r="Z128" s="198"/>
    </row>
    <row r="129" spans="5:26">
      <c r="E129" s="190"/>
      <c r="F129" s="195"/>
      <c r="G129" s="195" t="s">
        <v>286</v>
      </c>
      <c r="H129" s="192"/>
      <c r="I129" s="195"/>
      <c r="J129" s="195" t="s">
        <v>282</v>
      </c>
      <c r="K129" s="195"/>
      <c r="L129" s="194"/>
      <c r="M129" s="194"/>
      <c r="N129" s="194"/>
      <c r="O129" s="194"/>
      <c r="P129" s="198"/>
      <c r="Q129" s="198"/>
      <c r="R129" s="198"/>
      <c r="S129" s="198"/>
      <c r="T129" s="198"/>
      <c r="U129" s="198"/>
      <c r="V129" s="198"/>
      <c r="W129" s="198"/>
      <c r="X129" s="198"/>
      <c r="Y129" s="198"/>
      <c r="Z129" s="198"/>
    </row>
    <row r="130" spans="5:26" ht="34.200000000000003">
      <c r="E130" s="190"/>
      <c r="F130" s="195"/>
      <c r="G130" s="191" t="s">
        <v>422</v>
      </c>
      <c r="H130" s="192"/>
      <c r="I130" s="195"/>
      <c r="J130" s="195" t="s">
        <v>412</v>
      </c>
      <c r="K130" s="195"/>
      <c r="L130" s="194"/>
      <c r="M130" s="194"/>
      <c r="N130" s="194"/>
      <c r="O130" s="194"/>
      <c r="P130" s="198"/>
      <c r="Q130" s="198"/>
      <c r="R130" s="198"/>
      <c r="S130" s="198"/>
      <c r="T130" s="198"/>
      <c r="U130" s="198"/>
      <c r="V130" s="198"/>
      <c r="W130" s="198"/>
      <c r="X130" s="198"/>
      <c r="Y130" s="198"/>
      <c r="Z130" s="198"/>
    </row>
    <row r="131" spans="5:26" ht="45.6">
      <c r="E131" s="190"/>
      <c r="F131" s="195"/>
      <c r="G131" s="191" t="s">
        <v>423</v>
      </c>
      <c r="H131" s="192"/>
      <c r="I131" s="192">
        <v>241653</v>
      </c>
      <c r="J131" s="195" t="s">
        <v>412</v>
      </c>
      <c r="K131" s="195"/>
      <c r="L131" s="194"/>
      <c r="M131" s="194"/>
      <c r="N131" s="194"/>
      <c r="O131" s="194"/>
      <c r="P131" s="198"/>
      <c r="Q131" s="198"/>
      <c r="R131" s="198"/>
      <c r="S131" s="198"/>
      <c r="T131" s="198"/>
      <c r="U131" s="198"/>
      <c r="V131" s="198"/>
      <c r="W131" s="198"/>
      <c r="X131" s="198"/>
      <c r="Y131" s="198"/>
      <c r="Z131" s="198"/>
    </row>
    <row r="132" spans="5:26" ht="45.6">
      <c r="E132" s="190"/>
      <c r="F132" s="195"/>
      <c r="G132" s="191" t="s">
        <v>424</v>
      </c>
      <c r="H132" s="192"/>
      <c r="I132" s="192">
        <v>241700</v>
      </c>
      <c r="J132" s="195" t="s">
        <v>421</v>
      </c>
      <c r="K132" s="195"/>
      <c r="L132" s="194"/>
      <c r="M132" s="194"/>
      <c r="N132" s="194"/>
      <c r="O132" s="194"/>
      <c r="P132" s="198"/>
      <c r="Q132" s="198"/>
      <c r="R132" s="198"/>
      <c r="S132" s="198"/>
      <c r="T132" s="198"/>
      <c r="U132" s="198"/>
      <c r="V132" s="198"/>
      <c r="W132" s="198"/>
      <c r="X132" s="198"/>
      <c r="Y132" s="198"/>
      <c r="Z132" s="198"/>
    </row>
    <row r="133" spans="5:26">
      <c r="E133" s="190"/>
      <c r="F133" s="195"/>
      <c r="G133" s="195" t="s">
        <v>286</v>
      </c>
      <c r="H133" s="192"/>
      <c r="I133" s="195"/>
      <c r="J133" s="195" t="s">
        <v>282</v>
      </c>
      <c r="K133" s="195"/>
      <c r="L133" s="194"/>
      <c r="M133" s="194"/>
      <c r="N133" s="194"/>
      <c r="O133" s="194"/>
      <c r="P133" s="198"/>
      <c r="Q133" s="198"/>
      <c r="R133" s="198"/>
      <c r="S133" s="198"/>
      <c r="T133" s="198"/>
      <c r="U133" s="198"/>
      <c r="V133" s="198"/>
      <c r="W133" s="198"/>
      <c r="X133" s="198"/>
      <c r="Y133" s="198"/>
      <c r="Z133" s="198"/>
    </row>
    <row r="134" spans="5:26" ht="22.8">
      <c r="E134" s="190"/>
      <c r="F134" s="195"/>
      <c r="G134" s="191" t="s">
        <v>360</v>
      </c>
      <c r="H134" s="192"/>
      <c r="I134" s="195"/>
      <c r="J134" s="195" t="s">
        <v>412</v>
      </c>
      <c r="K134" s="195"/>
      <c r="L134" s="194"/>
      <c r="M134" s="194"/>
      <c r="N134" s="194"/>
      <c r="O134" s="194"/>
      <c r="P134" s="198"/>
      <c r="Q134" s="198"/>
      <c r="R134" s="198"/>
      <c r="S134" s="198"/>
      <c r="T134" s="198"/>
      <c r="U134" s="198"/>
      <c r="V134" s="198"/>
      <c r="W134" s="198"/>
      <c r="X134" s="198"/>
      <c r="Y134" s="198"/>
      <c r="Z134" s="198"/>
    </row>
    <row r="135" spans="5:26" ht="34.200000000000003">
      <c r="E135" s="190"/>
      <c r="F135" s="195"/>
      <c r="G135" s="191" t="s">
        <v>425</v>
      </c>
      <c r="H135" s="192"/>
      <c r="I135" s="192">
        <v>241654</v>
      </c>
      <c r="J135" s="195" t="s">
        <v>412</v>
      </c>
      <c r="K135" s="195"/>
      <c r="L135" s="194"/>
      <c r="M135" s="194"/>
      <c r="N135" s="194"/>
      <c r="O135" s="194"/>
      <c r="P135" s="198"/>
      <c r="Q135" s="198"/>
      <c r="R135" s="198"/>
      <c r="S135" s="198"/>
      <c r="T135" s="198"/>
      <c r="U135" s="198"/>
      <c r="V135" s="198"/>
      <c r="W135" s="198"/>
      <c r="X135" s="198"/>
      <c r="Y135" s="198"/>
      <c r="Z135" s="198"/>
    </row>
    <row r="136" spans="5:26" ht="34.200000000000003">
      <c r="E136" s="190"/>
      <c r="F136" s="195"/>
      <c r="G136" s="191" t="s">
        <v>426</v>
      </c>
      <c r="H136" s="192"/>
      <c r="I136" s="192">
        <v>241700</v>
      </c>
      <c r="J136" s="195" t="s">
        <v>421</v>
      </c>
      <c r="K136" s="195"/>
      <c r="L136" s="194"/>
      <c r="M136" s="194"/>
      <c r="N136" s="194"/>
      <c r="O136" s="194"/>
      <c r="P136" s="198"/>
      <c r="Q136" s="198"/>
      <c r="R136" s="198"/>
      <c r="S136" s="198"/>
      <c r="T136" s="198"/>
      <c r="U136" s="198"/>
      <c r="V136" s="198"/>
      <c r="W136" s="198"/>
      <c r="X136" s="198"/>
      <c r="Y136" s="198"/>
      <c r="Z136" s="198"/>
    </row>
    <row r="137" spans="5:26">
      <c r="E137" s="190"/>
      <c r="F137" s="195"/>
      <c r="G137" s="195" t="s">
        <v>286</v>
      </c>
      <c r="H137" s="192"/>
      <c r="I137" s="195"/>
      <c r="J137" s="195" t="s">
        <v>282</v>
      </c>
      <c r="K137" s="195"/>
      <c r="L137" s="194"/>
      <c r="M137" s="194"/>
      <c r="N137" s="194"/>
      <c r="O137" s="194"/>
      <c r="P137" s="198"/>
      <c r="Q137" s="198"/>
      <c r="R137" s="198"/>
      <c r="S137" s="198"/>
      <c r="T137" s="198"/>
      <c r="U137" s="198"/>
      <c r="V137" s="198"/>
      <c r="W137" s="198"/>
      <c r="X137" s="198"/>
      <c r="Y137" s="198"/>
      <c r="Z137" s="198"/>
    </row>
    <row r="138" spans="5:26" ht="34.200000000000003">
      <c r="E138" s="190">
        <v>9</v>
      </c>
      <c r="F138" s="191" t="s">
        <v>427</v>
      </c>
      <c r="G138" s="191" t="s">
        <v>428</v>
      </c>
      <c r="H138" s="192"/>
      <c r="I138" s="195"/>
      <c r="J138" s="195" t="s">
        <v>429</v>
      </c>
      <c r="K138" s="195"/>
      <c r="L138" s="194"/>
      <c r="M138" s="194"/>
      <c r="N138" s="194"/>
      <c r="O138" s="194"/>
      <c r="P138" s="198"/>
      <c r="Q138" s="198"/>
      <c r="R138" s="198"/>
      <c r="S138" s="198"/>
      <c r="T138" s="198"/>
      <c r="U138" s="198"/>
      <c r="V138" s="198"/>
      <c r="W138" s="198"/>
      <c r="X138" s="198"/>
      <c r="Y138" s="198"/>
      <c r="Z138" s="198"/>
    </row>
    <row r="139" spans="5:26" ht="45.6">
      <c r="E139" s="190"/>
      <c r="F139" s="195"/>
      <c r="G139" s="191" t="s">
        <v>430</v>
      </c>
      <c r="H139" s="192"/>
      <c r="I139" s="195"/>
      <c r="J139" s="195" t="s">
        <v>288</v>
      </c>
      <c r="K139" s="195"/>
      <c r="L139" s="194"/>
      <c r="M139" s="194"/>
      <c r="N139" s="194"/>
      <c r="O139" s="194"/>
      <c r="P139" s="198"/>
      <c r="Q139" s="198"/>
      <c r="R139" s="198"/>
      <c r="S139" s="198"/>
      <c r="T139" s="198"/>
      <c r="U139" s="198"/>
      <c r="V139" s="198"/>
      <c r="W139" s="198"/>
      <c r="X139" s="198"/>
      <c r="Y139" s="198"/>
      <c r="Z139" s="198"/>
    </row>
    <row r="140" spans="5:26" ht="20.399999999999999">
      <c r="E140" s="190"/>
      <c r="F140" s="195"/>
      <c r="G140" s="195" t="s">
        <v>431</v>
      </c>
      <c r="H140" s="192"/>
      <c r="I140" s="195"/>
      <c r="J140" s="195" t="s">
        <v>282</v>
      </c>
      <c r="K140" s="195"/>
      <c r="L140" s="194"/>
      <c r="M140" s="194"/>
      <c r="N140" s="194"/>
      <c r="O140" s="194"/>
      <c r="P140" s="198"/>
      <c r="Q140" s="198"/>
      <c r="R140" s="198"/>
      <c r="S140" s="198"/>
      <c r="T140" s="198"/>
      <c r="U140" s="198"/>
      <c r="V140" s="198"/>
      <c r="W140" s="198"/>
      <c r="X140" s="198"/>
      <c r="Y140" s="198"/>
      <c r="Z140" s="198"/>
    </row>
    <row r="141" spans="5:26" ht="30.6">
      <c r="E141" s="190"/>
      <c r="F141" s="195"/>
      <c r="G141" s="195" t="s">
        <v>290</v>
      </c>
      <c r="H141" s="192"/>
      <c r="I141" s="195"/>
      <c r="J141" s="195" t="s">
        <v>406</v>
      </c>
      <c r="K141" s="195"/>
      <c r="L141" s="194"/>
      <c r="M141" s="194"/>
      <c r="N141" s="194"/>
      <c r="O141" s="194"/>
      <c r="P141" s="198"/>
      <c r="Q141" s="198"/>
      <c r="R141" s="198"/>
      <c r="S141" s="198"/>
      <c r="T141" s="198"/>
      <c r="U141" s="198"/>
      <c r="V141" s="198"/>
      <c r="W141" s="198"/>
      <c r="X141" s="198"/>
      <c r="Y141" s="198"/>
      <c r="Z141" s="198"/>
    </row>
    <row r="142" spans="5:26" ht="20.399999999999999">
      <c r="E142" s="190"/>
      <c r="F142" s="195"/>
      <c r="G142" s="195" t="s">
        <v>292</v>
      </c>
      <c r="H142" s="192"/>
      <c r="I142" s="195"/>
      <c r="J142" s="195" t="s">
        <v>282</v>
      </c>
      <c r="K142" s="195"/>
      <c r="L142" s="194"/>
      <c r="M142" s="194"/>
      <c r="N142" s="194"/>
      <c r="O142" s="194"/>
      <c r="P142" s="198"/>
      <c r="Q142" s="198"/>
      <c r="R142" s="198"/>
      <c r="S142" s="198"/>
      <c r="T142" s="198"/>
      <c r="U142" s="198"/>
      <c r="V142" s="198"/>
      <c r="W142" s="198"/>
      <c r="X142" s="198"/>
      <c r="Y142" s="198"/>
      <c r="Z142" s="198"/>
    </row>
    <row r="143" spans="5:26" ht="34.200000000000003">
      <c r="E143" s="190">
        <v>10</v>
      </c>
      <c r="F143" s="191" t="s">
        <v>432</v>
      </c>
      <c r="G143" s="191" t="s">
        <v>376</v>
      </c>
      <c r="H143" s="192"/>
      <c r="I143" s="195"/>
      <c r="J143" s="191" t="s">
        <v>294</v>
      </c>
      <c r="K143" s="195"/>
      <c r="L143" s="194"/>
      <c r="M143" s="194"/>
      <c r="N143" s="194"/>
      <c r="O143" s="194"/>
      <c r="P143" s="198"/>
      <c r="Q143" s="198"/>
      <c r="R143" s="198"/>
      <c r="S143" s="198"/>
      <c r="T143" s="198"/>
      <c r="U143" s="198"/>
      <c r="V143" s="198"/>
      <c r="W143" s="198"/>
      <c r="X143" s="198"/>
      <c r="Y143" s="198"/>
      <c r="Z143" s="198"/>
    </row>
    <row r="144" spans="5:26" ht="34.200000000000003">
      <c r="E144" s="190"/>
      <c r="F144" s="195"/>
      <c r="G144" s="191" t="s">
        <v>433</v>
      </c>
      <c r="H144" s="192"/>
      <c r="I144" s="195"/>
      <c r="J144" s="191" t="s">
        <v>434</v>
      </c>
      <c r="K144" s="195"/>
      <c r="L144" s="194"/>
      <c r="M144" s="194"/>
      <c r="N144" s="194"/>
      <c r="O144" s="194"/>
      <c r="P144" s="198"/>
      <c r="Q144" s="198"/>
      <c r="R144" s="198"/>
      <c r="S144" s="198"/>
      <c r="T144" s="198"/>
      <c r="U144" s="198"/>
      <c r="V144" s="198"/>
      <c r="W144" s="198"/>
      <c r="X144" s="198"/>
      <c r="Y144" s="198"/>
      <c r="Z144" s="198"/>
    </row>
    <row r="145" spans="1:26" ht="34.200000000000003">
      <c r="E145" s="190"/>
      <c r="F145" s="195"/>
      <c r="G145" s="191" t="s">
        <v>435</v>
      </c>
      <c r="H145" s="192"/>
      <c r="I145" s="195"/>
      <c r="J145" s="191" t="s">
        <v>436</v>
      </c>
      <c r="K145" s="195"/>
      <c r="L145" s="194"/>
      <c r="M145" s="194"/>
      <c r="N145" s="194"/>
      <c r="O145" s="194"/>
      <c r="P145" s="198"/>
      <c r="Q145" s="198"/>
      <c r="R145" s="198"/>
      <c r="S145" s="198"/>
      <c r="T145" s="198"/>
      <c r="U145" s="198"/>
      <c r="V145" s="198"/>
      <c r="W145" s="198"/>
      <c r="X145" s="198"/>
      <c r="Y145" s="198"/>
      <c r="Z145" s="198"/>
    </row>
    <row r="146" spans="1:26" ht="34.200000000000003">
      <c r="E146" s="190"/>
      <c r="F146" s="195"/>
      <c r="G146" s="191" t="s">
        <v>437</v>
      </c>
      <c r="H146" s="192"/>
      <c r="I146" s="195"/>
      <c r="J146" s="191" t="s">
        <v>438</v>
      </c>
      <c r="K146" s="195"/>
      <c r="L146" s="194"/>
      <c r="M146" s="194"/>
      <c r="N146" s="194"/>
      <c r="O146" s="194"/>
      <c r="P146" s="198"/>
      <c r="Q146" s="198"/>
      <c r="R146" s="198"/>
      <c r="S146" s="198"/>
      <c r="T146" s="198"/>
      <c r="U146" s="198"/>
      <c r="V146" s="198"/>
      <c r="W146" s="198"/>
      <c r="X146" s="198"/>
      <c r="Y146" s="198"/>
      <c r="Z146" s="198"/>
    </row>
    <row r="147" spans="1:26" ht="34.200000000000003">
      <c r="E147" s="190"/>
      <c r="F147" s="195"/>
      <c r="G147" s="191" t="s">
        <v>439</v>
      </c>
      <c r="H147" s="192"/>
      <c r="I147" s="195"/>
      <c r="J147" s="191" t="s">
        <v>440</v>
      </c>
      <c r="K147" s="195"/>
      <c r="L147" s="194"/>
      <c r="M147" s="194"/>
      <c r="N147" s="194"/>
      <c r="O147" s="194"/>
      <c r="P147" s="198"/>
      <c r="Q147" s="198"/>
      <c r="R147" s="198"/>
      <c r="S147" s="198"/>
      <c r="T147" s="198"/>
      <c r="U147" s="198"/>
      <c r="V147" s="198"/>
      <c r="W147" s="198"/>
      <c r="X147" s="198"/>
      <c r="Y147" s="198"/>
      <c r="Z147" s="198"/>
    </row>
    <row r="148" spans="1:26" ht="22.8">
      <c r="E148" s="190"/>
      <c r="F148" s="195"/>
      <c r="G148" s="191" t="s">
        <v>441</v>
      </c>
      <c r="H148" s="192"/>
      <c r="I148" s="195"/>
      <c r="J148" s="191" t="s">
        <v>442</v>
      </c>
      <c r="K148" s="195"/>
      <c r="L148" s="194"/>
      <c r="M148" s="194"/>
      <c r="N148" s="194"/>
      <c r="O148" s="194"/>
      <c r="P148" s="198"/>
      <c r="Q148" s="198"/>
      <c r="R148" s="198"/>
      <c r="S148" s="198"/>
      <c r="T148" s="198"/>
      <c r="U148" s="198"/>
      <c r="V148" s="198"/>
      <c r="W148" s="198"/>
      <c r="X148" s="198"/>
      <c r="Y148" s="198"/>
      <c r="Z148" s="198"/>
    </row>
    <row r="149" spans="1:26" ht="34.200000000000003">
      <c r="E149" s="190"/>
      <c r="F149" s="195"/>
      <c r="G149" s="191" t="s">
        <v>443</v>
      </c>
      <c r="H149" s="192"/>
      <c r="I149" s="195"/>
      <c r="J149" s="191" t="s">
        <v>444</v>
      </c>
      <c r="K149" s="195"/>
      <c r="L149" s="194"/>
      <c r="M149" s="194"/>
      <c r="N149" s="194"/>
      <c r="O149" s="194"/>
      <c r="P149" s="198"/>
      <c r="Q149" s="198"/>
      <c r="R149" s="198"/>
      <c r="S149" s="198"/>
      <c r="T149" s="198"/>
      <c r="U149" s="198"/>
      <c r="V149" s="198"/>
      <c r="W149" s="198"/>
      <c r="X149" s="198"/>
      <c r="Y149" s="198"/>
      <c r="Z149" s="198"/>
    </row>
    <row r="150" spans="1:26" ht="22.8">
      <c r="E150" s="190"/>
      <c r="F150" s="195"/>
      <c r="G150" s="191" t="s">
        <v>445</v>
      </c>
      <c r="H150" s="192"/>
      <c r="I150" s="195"/>
      <c r="J150" s="191" t="s">
        <v>446</v>
      </c>
      <c r="K150" s="195"/>
      <c r="L150" s="194"/>
      <c r="M150" s="194"/>
      <c r="N150" s="194"/>
      <c r="O150" s="194"/>
      <c r="P150" s="198"/>
      <c r="Q150" s="198"/>
      <c r="R150" s="198"/>
      <c r="S150" s="198"/>
      <c r="T150" s="198"/>
      <c r="U150" s="198"/>
      <c r="V150" s="198"/>
      <c r="W150" s="198"/>
      <c r="X150" s="198"/>
      <c r="Y150" s="198"/>
      <c r="Z150" s="198"/>
    </row>
    <row r="151" spans="1:26" ht="22.8">
      <c r="E151" s="190"/>
      <c r="F151" s="195"/>
      <c r="G151" s="191" t="s">
        <v>447</v>
      </c>
      <c r="H151" s="192"/>
      <c r="I151" s="195"/>
      <c r="J151" s="191" t="s">
        <v>448</v>
      </c>
      <c r="K151" s="195"/>
      <c r="L151" s="194"/>
      <c r="M151" s="194"/>
      <c r="N151" s="194"/>
      <c r="O151" s="194"/>
      <c r="P151" s="198"/>
      <c r="Q151" s="198"/>
      <c r="R151" s="198"/>
      <c r="S151" s="198"/>
      <c r="T151" s="198"/>
      <c r="U151" s="198"/>
      <c r="V151" s="198"/>
      <c r="W151" s="198"/>
      <c r="X151" s="198"/>
      <c r="Y151" s="198"/>
      <c r="Z151" s="198"/>
    </row>
    <row r="152" spans="1:26" s="209" customFormat="1" ht="22.8">
      <c r="A152" s="251"/>
      <c r="B152" s="252"/>
      <c r="C152" s="252"/>
      <c r="D152" s="252"/>
      <c r="E152" s="263"/>
      <c r="F152" s="265"/>
      <c r="G152" s="264" t="s">
        <v>996</v>
      </c>
      <c r="H152" s="192"/>
      <c r="I152" s="265"/>
      <c r="J152" s="264" t="s">
        <v>997</v>
      </c>
      <c r="K152" s="195"/>
      <c r="L152" s="194"/>
      <c r="M152" s="194"/>
      <c r="N152" s="194"/>
      <c r="O152" s="266"/>
      <c r="P152" s="252"/>
      <c r="Q152" s="252"/>
      <c r="R152" s="252"/>
      <c r="S152" s="252"/>
      <c r="T152" s="252"/>
      <c r="U152" s="252"/>
      <c r="V152" s="252"/>
      <c r="W152" s="252"/>
      <c r="X152" s="252"/>
      <c r="Y152" s="252"/>
      <c r="Z152" s="252"/>
    </row>
    <row r="153" spans="1:26" s="209" customFormat="1" ht="34.200000000000003">
      <c r="A153" s="251"/>
      <c r="B153" s="252"/>
      <c r="C153" s="252"/>
      <c r="D153" s="252"/>
      <c r="E153" s="263"/>
      <c r="F153" s="265"/>
      <c r="G153" s="264" t="s">
        <v>998</v>
      </c>
      <c r="H153" s="192"/>
      <c r="I153" s="265"/>
      <c r="J153" s="264" t="s">
        <v>999</v>
      </c>
      <c r="K153" s="195"/>
      <c r="L153" s="194"/>
      <c r="M153" s="194"/>
      <c r="N153" s="194"/>
      <c r="O153" s="266"/>
      <c r="P153" s="252"/>
      <c r="Q153" s="252"/>
      <c r="R153" s="252"/>
      <c r="S153" s="252"/>
      <c r="T153" s="252"/>
      <c r="U153" s="252"/>
      <c r="V153" s="252"/>
      <c r="W153" s="252"/>
      <c r="X153" s="252"/>
      <c r="Y153" s="252"/>
      <c r="Z153" s="252"/>
    </row>
    <row r="154" spans="1:26" s="209" customFormat="1" ht="22.8">
      <c r="A154" s="251"/>
      <c r="B154" s="252"/>
      <c r="C154" s="252"/>
      <c r="D154" s="252"/>
      <c r="E154" s="263"/>
      <c r="F154" s="265"/>
      <c r="G154" s="264" t="s">
        <v>1000</v>
      </c>
      <c r="H154" s="192"/>
      <c r="I154" s="265"/>
      <c r="J154" s="264" t="s">
        <v>1001</v>
      </c>
      <c r="K154" s="195"/>
      <c r="L154" s="194"/>
      <c r="M154" s="194"/>
      <c r="N154" s="194"/>
      <c r="O154" s="266"/>
      <c r="P154" s="252"/>
      <c r="Q154" s="252"/>
      <c r="R154" s="252"/>
      <c r="S154" s="252"/>
      <c r="T154" s="252"/>
      <c r="U154" s="252"/>
      <c r="V154" s="252"/>
      <c r="W154" s="252"/>
      <c r="X154" s="252"/>
      <c r="Y154" s="252"/>
      <c r="Z154" s="252"/>
    </row>
    <row r="155" spans="1:26" s="209" customFormat="1" ht="34.200000000000003">
      <c r="A155" s="251"/>
      <c r="B155" s="252"/>
      <c r="C155" s="252"/>
      <c r="D155" s="252"/>
      <c r="E155" s="263"/>
      <c r="F155" s="265"/>
      <c r="G155" s="264" t="s">
        <v>1002</v>
      </c>
      <c r="H155" s="192"/>
      <c r="I155" s="265"/>
      <c r="J155" s="264" t="s">
        <v>1003</v>
      </c>
      <c r="K155" s="195"/>
      <c r="L155" s="194"/>
      <c r="M155" s="194"/>
      <c r="N155" s="194"/>
      <c r="O155" s="266"/>
      <c r="P155" s="252"/>
      <c r="Q155" s="252"/>
      <c r="R155" s="252"/>
      <c r="S155" s="252"/>
      <c r="T155" s="252"/>
      <c r="U155" s="252"/>
      <c r="V155" s="252"/>
      <c r="W155" s="252"/>
      <c r="X155" s="252"/>
      <c r="Y155" s="252"/>
      <c r="Z155" s="252"/>
    </row>
    <row r="156" spans="1:26" ht="34.200000000000003">
      <c r="E156" s="190"/>
      <c r="F156" s="195"/>
      <c r="G156" s="191" t="s">
        <v>449</v>
      </c>
      <c r="H156" s="192"/>
      <c r="I156" s="195"/>
      <c r="J156" s="191" t="s">
        <v>450</v>
      </c>
      <c r="K156" s="195"/>
      <c r="L156" s="194"/>
      <c r="M156" s="194"/>
      <c r="N156" s="194"/>
      <c r="O156" s="194"/>
      <c r="P156" s="198"/>
      <c r="Q156" s="198"/>
      <c r="R156" s="198"/>
      <c r="S156" s="198"/>
      <c r="T156" s="198"/>
      <c r="U156" s="198"/>
      <c r="V156" s="198"/>
      <c r="W156" s="198"/>
      <c r="X156" s="198"/>
      <c r="Y156" s="198"/>
      <c r="Z156" s="198"/>
    </row>
    <row r="157" spans="1:26">
      <c r="E157" s="190"/>
      <c r="F157" s="195"/>
      <c r="G157" s="191" t="s">
        <v>451</v>
      </c>
      <c r="H157" s="192"/>
      <c r="I157" s="195"/>
      <c r="J157" s="191" t="s">
        <v>452</v>
      </c>
      <c r="K157" s="195"/>
      <c r="L157" s="194"/>
      <c r="M157" s="194"/>
      <c r="N157" s="194"/>
      <c r="O157" s="194"/>
      <c r="P157" s="198"/>
      <c r="Q157" s="198"/>
      <c r="R157" s="198"/>
      <c r="S157" s="198"/>
      <c r="T157" s="198"/>
      <c r="U157" s="198"/>
      <c r="V157" s="198"/>
      <c r="W157" s="198"/>
      <c r="X157" s="198"/>
      <c r="Y157" s="198"/>
      <c r="Z157" s="198"/>
    </row>
    <row r="158" spans="1:26" ht="22.8">
      <c r="E158" s="190"/>
      <c r="F158" s="195"/>
      <c r="G158" s="191" t="s">
        <v>453</v>
      </c>
      <c r="H158" s="192"/>
      <c r="I158" s="195"/>
      <c r="J158" s="191" t="s">
        <v>454</v>
      </c>
      <c r="K158" s="195"/>
      <c r="L158" s="194"/>
      <c r="M158" s="194"/>
      <c r="N158" s="194"/>
      <c r="O158" s="194"/>
      <c r="P158" s="198"/>
      <c r="Q158" s="198"/>
      <c r="R158" s="198"/>
      <c r="S158" s="198"/>
      <c r="T158" s="198"/>
      <c r="U158" s="198"/>
      <c r="V158" s="198"/>
      <c r="W158" s="198"/>
      <c r="X158" s="198"/>
      <c r="Y158" s="198"/>
      <c r="Z158" s="198"/>
    </row>
    <row r="159" spans="1:26" ht="22.8">
      <c r="E159" s="190"/>
      <c r="F159" s="195"/>
      <c r="G159" s="191" t="s">
        <v>455</v>
      </c>
      <c r="H159" s="192"/>
      <c r="I159" s="195"/>
      <c r="J159" s="191" t="s">
        <v>456</v>
      </c>
      <c r="K159" s="195"/>
      <c r="L159" s="194"/>
      <c r="M159" s="194"/>
      <c r="N159" s="194"/>
      <c r="O159" s="194"/>
      <c r="P159" s="198"/>
      <c r="Q159" s="198"/>
      <c r="R159" s="198"/>
      <c r="S159" s="198"/>
      <c r="T159" s="198"/>
      <c r="U159" s="198"/>
      <c r="V159" s="198"/>
      <c r="W159" s="198"/>
      <c r="X159" s="198"/>
      <c r="Y159" s="198"/>
      <c r="Z159" s="198"/>
    </row>
    <row r="160" spans="1:26" ht="22.8">
      <c r="E160" s="190"/>
      <c r="F160" s="195"/>
      <c r="G160" s="191" t="s">
        <v>457</v>
      </c>
      <c r="H160" s="192"/>
      <c r="I160" s="195"/>
      <c r="J160" s="191" t="s">
        <v>458</v>
      </c>
      <c r="K160" s="195"/>
      <c r="L160" s="194"/>
      <c r="M160" s="194"/>
      <c r="N160" s="194"/>
      <c r="O160" s="194"/>
      <c r="P160" s="198"/>
      <c r="Q160" s="198"/>
      <c r="R160" s="198"/>
      <c r="S160" s="198"/>
      <c r="T160" s="198"/>
      <c r="U160" s="198"/>
      <c r="V160" s="198"/>
      <c r="W160" s="198"/>
      <c r="X160" s="198"/>
      <c r="Y160" s="198"/>
      <c r="Z160" s="198"/>
    </row>
    <row r="161" spans="5:26" ht="22.8">
      <c r="E161" s="190">
        <v>11</v>
      </c>
      <c r="F161" s="191" t="s">
        <v>459</v>
      </c>
      <c r="G161" s="191" t="s">
        <v>460</v>
      </c>
      <c r="H161" s="192"/>
      <c r="I161" s="195"/>
      <c r="J161" s="191" t="s">
        <v>461</v>
      </c>
      <c r="K161" s="195"/>
      <c r="L161" s="194"/>
      <c r="M161" s="194"/>
      <c r="N161" s="194"/>
      <c r="O161" s="194"/>
      <c r="P161" s="198"/>
      <c r="Q161" s="198"/>
      <c r="R161" s="198"/>
      <c r="S161" s="198"/>
      <c r="T161" s="198"/>
      <c r="U161" s="198"/>
      <c r="V161" s="198"/>
      <c r="W161" s="198"/>
      <c r="X161" s="198"/>
      <c r="Y161" s="198"/>
      <c r="Z161" s="198"/>
    </row>
    <row r="162" spans="5:26" ht="34.200000000000003">
      <c r="E162" s="190"/>
      <c r="F162" s="195"/>
      <c r="G162" s="191" t="s">
        <v>462</v>
      </c>
      <c r="H162" s="192"/>
      <c r="I162" s="195"/>
      <c r="J162" s="191" t="s">
        <v>463</v>
      </c>
      <c r="K162" s="195"/>
      <c r="L162" s="194"/>
      <c r="M162" s="194"/>
      <c r="N162" s="194"/>
      <c r="O162" s="194"/>
      <c r="P162" s="198"/>
      <c r="Q162" s="198"/>
      <c r="R162" s="198"/>
      <c r="S162" s="198"/>
      <c r="T162" s="198"/>
      <c r="U162" s="198"/>
      <c r="V162" s="198"/>
      <c r="W162" s="198"/>
      <c r="X162" s="198"/>
      <c r="Y162" s="198"/>
      <c r="Z162" s="198"/>
    </row>
    <row r="163" spans="5:26">
      <c r="E163" s="190"/>
      <c r="F163" s="195"/>
      <c r="G163" s="195"/>
      <c r="H163" s="195"/>
      <c r="I163" s="195"/>
      <c r="J163" s="195"/>
      <c r="K163" s="195"/>
      <c r="L163" s="194"/>
      <c r="M163" s="194"/>
      <c r="N163" s="194"/>
      <c r="O163" s="194"/>
      <c r="P163" s="198"/>
      <c r="Q163" s="198"/>
      <c r="R163" s="198"/>
      <c r="S163" s="198"/>
      <c r="T163" s="198"/>
      <c r="U163" s="198"/>
      <c r="V163" s="198"/>
      <c r="W163" s="198"/>
      <c r="X163" s="198"/>
      <c r="Y163" s="198"/>
      <c r="Z163" s="198"/>
    </row>
    <row r="164" spans="5:26">
      <c r="E164" s="190"/>
      <c r="F164" s="195"/>
      <c r="G164" s="195"/>
      <c r="H164" s="195"/>
      <c r="I164" s="195"/>
      <c r="J164" s="195"/>
      <c r="K164" s="195"/>
      <c r="L164" s="194"/>
      <c r="M164" s="194"/>
      <c r="N164" s="194"/>
      <c r="O164" s="194"/>
      <c r="P164" s="198"/>
      <c r="Q164" s="198"/>
      <c r="R164" s="198"/>
      <c r="S164" s="198"/>
      <c r="T164" s="198"/>
      <c r="U164" s="198"/>
      <c r="V164" s="198"/>
      <c r="W164" s="198"/>
      <c r="X164" s="198"/>
      <c r="Y164" s="198"/>
      <c r="Z164" s="198"/>
    </row>
    <row r="165" spans="5:26">
      <c r="E165" s="197"/>
      <c r="F165" s="200" t="s">
        <v>46</v>
      </c>
      <c r="G165" s="197"/>
      <c r="H165" s="197"/>
      <c r="I165" s="197"/>
      <c r="J165" s="197"/>
      <c r="K165" s="197"/>
      <c r="L165" s="197"/>
      <c r="M165" s="197"/>
      <c r="N165" s="197"/>
      <c r="O165" s="197"/>
      <c r="P165" s="198"/>
      <c r="Q165" s="198"/>
      <c r="R165" s="198"/>
      <c r="S165" s="198"/>
      <c r="T165" s="198"/>
      <c r="U165" s="198"/>
      <c r="V165" s="198"/>
      <c r="W165" s="198"/>
      <c r="X165" s="198"/>
      <c r="Y165" s="198"/>
      <c r="Z165" s="198"/>
    </row>
  </sheetData>
  <sheetProtection formatCells="0" formatColumns="0" formatRows="0" insertRows="0" insertHyperlinks="0" deleteRows="0" sort="0" autoFilter="0" pivotTables="0"/>
  <mergeCells count="19">
    <mergeCell ref="H5:I6"/>
    <mergeCell ref="L5:O5"/>
    <mergeCell ref="L6:O6"/>
    <mergeCell ref="G2:I2"/>
    <mergeCell ref="L2:O2"/>
    <mergeCell ref="G3:I4"/>
    <mergeCell ref="L3:O3"/>
    <mergeCell ref="L4:O4"/>
    <mergeCell ref="G12:G13"/>
    <mergeCell ref="H7:I8"/>
    <mergeCell ref="L7:O7"/>
    <mergeCell ref="E11:F11"/>
    <mergeCell ref="H11:H13"/>
    <mergeCell ref="I11:I13"/>
    <mergeCell ref="J11:J13"/>
    <mergeCell ref="K11:K13"/>
    <mergeCell ref="L11:N11"/>
    <mergeCell ref="O11:O13"/>
    <mergeCell ref="E12:F12"/>
  </mergeCells>
  <hyperlinks>
    <hyperlink ref="I14" r:id="rId1" xr:uid="{00000000-0004-0000-0C00-000000000000}"/>
  </hyperlinks>
  <pageMargins left="0.7" right="0.7" top="0.75" bottom="0.75" header="0.3" footer="0.3"/>
  <pageSetup paperSize="9" orientation="portrait" r:id="rId2"/>
  <headerFooter>
    <oddHeader>&amp;L&amp;G</oddHeader>
    <oddFooter>&amp;LTemplate ID: TP_TE_TestCase_V.2.0.0
Copyright&amp;RFile Name: &amp;F
Page: &amp;P/&amp;N</oddFooter>
  </headerFooter>
  <drawing r:id="rId3"/>
  <legacyDrawing r:id="rId4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9489" r:id="rId6" name="Button 1">
              <controlPr defaultSize="0" print="0" autoFill="0" autoPict="0" macro="[0]!Home">
                <anchor moveWithCells="1" sizeWithCells="1">
                  <from>
                    <xdr:col>6</xdr:col>
                    <xdr:colOff>381000</xdr:colOff>
                    <xdr:row>8</xdr:row>
                    <xdr:rowOff>236220</xdr:rowOff>
                  </from>
                  <to>
                    <xdr:col>6</xdr:col>
                    <xdr:colOff>1219200</xdr:colOff>
                    <xdr:row>9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Z37"/>
  <sheetViews>
    <sheetView showGridLines="0" topLeftCell="E19" zoomScaleNormal="100" workbookViewId="0">
      <selection activeCell="K35" sqref="K35"/>
    </sheetView>
  </sheetViews>
  <sheetFormatPr defaultColWidth="9.28515625" defaultRowHeight="11.4"/>
  <cols>
    <col min="1" max="1" width="11.85546875" style="10" hidden="1" customWidth="1"/>
    <col min="2" max="2" width="14.85546875" style="2" hidden="1" customWidth="1"/>
    <col min="3" max="3" width="17.28515625" style="2" hidden="1" customWidth="1"/>
    <col min="4" max="4" width="18.28515625" style="2" hidden="1" customWidth="1"/>
    <col min="5" max="5" width="8.42578125" style="2" customWidth="1"/>
    <col min="6" max="6" width="25.28515625" style="2" customWidth="1"/>
    <col min="7" max="7" width="39.85546875" style="2" customWidth="1"/>
    <col min="8" max="8" width="13.28515625" style="2" customWidth="1"/>
    <col min="9" max="9" width="18.42578125" style="2" customWidth="1"/>
    <col min="10" max="10" width="23.7109375" style="2" customWidth="1"/>
    <col min="11" max="11" width="35.140625" style="2" customWidth="1"/>
    <col min="12" max="12" width="9.85546875" style="2" customWidth="1"/>
    <col min="13" max="13" width="9.42578125" style="2" customWidth="1"/>
    <col min="14" max="14" width="9.7109375" style="2" customWidth="1"/>
    <col min="15" max="15" width="14.28515625" style="2" customWidth="1"/>
    <col min="16" max="16" width="23.85546875" style="2" customWidth="1"/>
    <col min="17" max="16384" width="9.28515625" style="2"/>
  </cols>
  <sheetData>
    <row r="1" spans="1:26" ht="18.75" customHeight="1" thickBot="1">
      <c r="K1" s="1"/>
      <c r="L1" s="1"/>
      <c r="M1" s="1"/>
      <c r="N1" s="1"/>
    </row>
    <row r="2" spans="1:26" s="1" customFormat="1" ht="33" customHeight="1">
      <c r="A2" s="11"/>
      <c r="E2" s="32" t="s">
        <v>10</v>
      </c>
      <c r="F2" s="33"/>
      <c r="G2" s="491" t="s">
        <v>99</v>
      </c>
      <c r="H2" s="492"/>
      <c r="I2" s="493"/>
      <c r="J2" s="7"/>
      <c r="K2" s="82" t="s">
        <v>22</v>
      </c>
      <c r="L2" s="470" t="s">
        <v>75</v>
      </c>
      <c r="M2" s="471"/>
      <c r="N2" s="471"/>
      <c r="O2" s="472"/>
    </row>
    <row r="3" spans="1:26" s="1" customFormat="1" ht="22.5" customHeight="1">
      <c r="A3" s="11"/>
      <c r="E3" s="34" t="s">
        <v>9</v>
      </c>
      <c r="F3" s="35"/>
      <c r="G3" s="480" t="str">
        <f>VLOOKUP(G2,'Test Case'!F13:G65515,2,TRUE)</f>
        <v>ทดสอบการบันทึกรหัสขนาดในกรณี Happy Flow</v>
      </c>
      <c r="H3" s="481"/>
      <c r="I3" s="482"/>
      <c r="J3" s="8"/>
      <c r="K3" s="36" t="s">
        <v>6</v>
      </c>
      <c r="L3" s="473" t="s">
        <v>89</v>
      </c>
      <c r="M3" s="474"/>
      <c r="N3" s="474"/>
      <c r="O3" s="475"/>
    </row>
    <row r="4" spans="1:26" s="1" customFormat="1" ht="23.25" customHeight="1" thickBot="1">
      <c r="A4" s="11"/>
      <c r="E4" s="34"/>
      <c r="F4" s="35"/>
      <c r="G4" s="483"/>
      <c r="H4" s="484"/>
      <c r="I4" s="485"/>
      <c r="J4" s="8"/>
      <c r="K4" s="36" t="s">
        <v>11</v>
      </c>
      <c r="L4" s="476" t="s">
        <v>69</v>
      </c>
      <c r="M4" s="477"/>
      <c r="N4" s="477"/>
      <c r="O4" s="478"/>
    </row>
    <row r="5" spans="1:26" s="1" customFormat="1" ht="22.5" customHeight="1">
      <c r="A5" s="11"/>
      <c r="E5" s="130"/>
      <c r="F5" s="131"/>
      <c r="G5" s="128"/>
      <c r="H5" s="494"/>
      <c r="I5" s="494"/>
      <c r="J5" s="5"/>
      <c r="K5" s="36" t="s">
        <v>4</v>
      </c>
      <c r="L5" s="476" t="s">
        <v>76</v>
      </c>
      <c r="M5" s="477"/>
      <c r="N5" s="477"/>
      <c r="O5" s="478"/>
    </row>
    <row r="6" spans="1:26" s="1" customFormat="1" ht="22.5" customHeight="1">
      <c r="A6" s="11"/>
      <c r="E6" s="130"/>
      <c r="F6" s="131"/>
      <c r="G6" s="129"/>
      <c r="H6" s="494"/>
      <c r="I6" s="494"/>
      <c r="J6" s="5"/>
      <c r="K6" s="36" t="s">
        <v>55</v>
      </c>
      <c r="L6" s="479">
        <v>43330</v>
      </c>
      <c r="M6" s="477"/>
      <c r="N6" s="477"/>
      <c r="O6" s="478"/>
    </row>
    <row r="7" spans="1:26" s="1" customFormat="1" ht="22.5" customHeight="1" thickBot="1">
      <c r="A7" s="11"/>
      <c r="E7" s="130"/>
      <c r="F7" s="131"/>
      <c r="G7" s="128"/>
      <c r="H7" s="506"/>
      <c r="I7" s="507"/>
      <c r="J7" s="5"/>
      <c r="K7" s="37" t="s">
        <v>54</v>
      </c>
      <c r="L7" s="510">
        <f>G11</f>
        <v>22</v>
      </c>
      <c r="M7" s="511"/>
      <c r="N7" s="511"/>
      <c r="O7" s="512"/>
    </row>
    <row r="8" spans="1:26" s="1" customFormat="1" ht="22.5" customHeight="1">
      <c r="A8" s="11"/>
      <c r="E8" s="130"/>
      <c r="F8" s="131"/>
      <c r="G8" s="129"/>
      <c r="H8" s="507"/>
      <c r="I8" s="507"/>
      <c r="J8" s="5"/>
      <c r="K8"/>
      <c r="N8" s="9"/>
    </row>
    <row r="9" spans="1:26" s="1" customFormat="1" ht="22.5" customHeight="1">
      <c r="A9" s="11"/>
      <c r="H9" s="2"/>
      <c r="I9" s="2"/>
      <c r="J9" s="5"/>
      <c r="K9"/>
      <c r="M9" s="2"/>
      <c r="N9" s="9"/>
    </row>
    <row r="10" spans="1:26" s="1" customFormat="1" ht="29.25" customHeight="1" thickBot="1">
      <c r="A10" s="11"/>
      <c r="J10" s="5"/>
      <c r="K10" s="2"/>
      <c r="L10" s="2"/>
      <c r="M10" s="4"/>
      <c r="N10" s="4"/>
      <c r="O10" s="4"/>
    </row>
    <row r="11" spans="1:26" s="1" customFormat="1" ht="29.25" customHeight="1">
      <c r="A11" s="89"/>
      <c r="B11" s="90"/>
      <c r="C11" s="90"/>
      <c r="D11" s="90"/>
      <c r="E11" s="508" t="s">
        <v>45</v>
      </c>
      <c r="F11" s="509"/>
      <c r="G11" s="93">
        <f>COUNTA(G14:G36)</f>
        <v>22</v>
      </c>
      <c r="H11" s="488" t="s">
        <v>51</v>
      </c>
      <c r="I11" s="488" t="s">
        <v>5</v>
      </c>
      <c r="J11" s="488" t="s">
        <v>3</v>
      </c>
      <c r="K11" s="498" t="s">
        <v>13</v>
      </c>
      <c r="L11" s="501" t="s">
        <v>48</v>
      </c>
      <c r="M11" s="502"/>
      <c r="N11" s="503"/>
      <c r="O11" s="495" t="s">
        <v>52</v>
      </c>
      <c r="P11" s="3"/>
    </row>
    <row r="12" spans="1:26" s="1" customFormat="1" ht="16.5" customHeight="1" thickBot="1">
      <c r="A12" s="91"/>
      <c r="B12" s="92" t="s">
        <v>89</v>
      </c>
      <c r="C12" s="92"/>
      <c r="D12" s="92"/>
      <c r="E12" s="504">
        <f>COUNTA(E14:E36)</f>
        <v>9</v>
      </c>
      <c r="F12" s="505"/>
      <c r="G12" s="486" t="s">
        <v>44</v>
      </c>
      <c r="H12" s="489"/>
      <c r="I12" s="489"/>
      <c r="J12" s="489"/>
      <c r="K12" s="499"/>
      <c r="L12" s="94">
        <f>COUNTA(L14:L36)</f>
        <v>0</v>
      </c>
      <c r="M12" s="95">
        <f>COUNTA(M14:M36)</f>
        <v>0</v>
      </c>
      <c r="N12" s="96">
        <f>COUNTA(N14:N36)</f>
        <v>0</v>
      </c>
      <c r="O12" s="496"/>
      <c r="P12" s="3"/>
    </row>
    <row r="13" spans="1:26" s="1" customFormat="1" ht="22.5" customHeight="1" thickBot="1">
      <c r="A13" s="23" t="s">
        <v>7</v>
      </c>
      <c r="B13" s="24" t="s">
        <v>18</v>
      </c>
      <c r="C13" s="25" t="s">
        <v>19</v>
      </c>
      <c r="D13" s="25" t="s">
        <v>17</v>
      </c>
      <c r="E13" s="175" t="s">
        <v>43</v>
      </c>
      <c r="F13" s="134" t="s">
        <v>12</v>
      </c>
      <c r="G13" s="486"/>
      <c r="H13" s="489"/>
      <c r="I13" s="489"/>
      <c r="J13" s="489"/>
      <c r="K13" s="499"/>
      <c r="L13" s="176" t="s">
        <v>42</v>
      </c>
      <c r="M13" s="177" t="s">
        <v>47</v>
      </c>
      <c r="N13" s="178" t="s">
        <v>53</v>
      </c>
      <c r="O13" s="496"/>
      <c r="P13" s="3"/>
    </row>
    <row r="14" spans="1:26" s="144" customFormat="1" ht="307.8">
      <c r="A14" s="140"/>
      <c r="B14" s="141"/>
      <c r="C14" s="142"/>
      <c r="D14" s="142"/>
      <c r="E14" s="183">
        <v>1</v>
      </c>
      <c r="F14" s="184" t="s">
        <v>214</v>
      </c>
      <c r="G14" s="184" t="s">
        <v>464</v>
      </c>
      <c r="H14" s="185"/>
      <c r="I14" s="186" t="s">
        <v>465</v>
      </c>
      <c r="J14" s="184" t="s">
        <v>466</v>
      </c>
      <c r="K14" s="184"/>
      <c r="L14" s="189"/>
      <c r="M14" s="188"/>
      <c r="N14" s="188"/>
      <c r="O14" s="188"/>
      <c r="P14" s="143"/>
    </row>
    <row r="15" spans="1:26" s="149" customFormat="1" ht="310.2" customHeight="1">
      <c r="A15" s="145"/>
      <c r="B15" s="146"/>
      <c r="C15" s="146"/>
      <c r="D15" s="147"/>
      <c r="E15" s="183">
        <v>2</v>
      </c>
      <c r="F15" s="184" t="s">
        <v>215</v>
      </c>
      <c r="G15" s="184" t="s">
        <v>216</v>
      </c>
      <c r="H15" s="185"/>
      <c r="I15" s="188"/>
      <c r="J15" s="184" t="s">
        <v>104</v>
      </c>
      <c r="K15" s="184"/>
      <c r="L15" s="189"/>
      <c r="M15" s="188"/>
      <c r="N15" s="188"/>
      <c r="O15" s="188"/>
      <c r="P15" s="148"/>
      <c r="Q15" s="148"/>
      <c r="R15" s="148"/>
      <c r="S15" s="148"/>
      <c r="T15" s="148"/>
      <c r="U15" s="148"/>
      <c r="V15" s="148"/>
      <c r="W15" s="148"/>
      <c r="X15" s="148"/>
      <c r="Y15" s="148"/>
      <c r="Z15" s="148"/>
    </row>
    <row r="16" spans="1:26" s="149" customFormat="1" ht="34.200000000000003">
      <c r="A16" s="145" t="e">
        <f>#REF!</f>
        <v>#REF!</v>
      </c>
      <c r="B16" s="146" t="e">
        <f>#REF!</f>
        <v>#REF!</v>
      </c>
      <c r="C16" s="146">
        <f t="shared" ref="C16:C23" si="0">$I$5</f>
        <v>0</v>
      </c>
      <c r="D16" s="147">
        <f t="shared" ref="D16:D23" si="1">$I$7</f>
        <v>0</v>
      </c>
      <c r="E16" s="183"/>
      <c r="F16" s="184"/>
      <c r="G16" s="184" t="s">
        <v>217</v>
      </c>
      <c r="H16" s="185"/>
      <c r="I16" s="188"/>
      <c r="J16" s="184" t="s">
        <v>105</v>
      </c>
      <c r="K16" s="184"/>
      <c r="L16" s="189"/>
      <c r="M16" s="188"/>
      <c r="N16" s="188"/>
      <c r="O16" s="188"/>
      <c r="P16" s="148"/>
      <c r="Q16" s="148"/>
      <c r="R16" s="148"/>
      <c r="S16" s="148"/>
      <c r="T16" s="148"/>
      <c r="U16" s="148"/>
      <c r="V16" s="148"/>
      <c r="W16" s="148"/>
      <c r="X16" s="148"/>
      <c r="Y16" s="148"/>
      <c r="Z16" s="148"/>
    </row>
    <row r="17" spans="1:26" s="149" customFormat="1" ht="34.200000000000003">
      <c r="A17" s="145"/>
      <c r="B17" s="146"/>
      <c r="C17" s="146"/>
      <c r="D17" s="147"/>
      <c r="E17" s="183"/>
      <c r="F17" s="184"/>
      <c r="G17" s="184" t="s">
        <v>218</v>
      </c>
      <c r="H17" s="185"/>
      <c r="I17" s="188"/>
      <c r="J17" s="184" t="s">
        <v>106</v>
      </c>
      <c r="K17" s="184"/>
      <c r="L17" s="189"/>
      <c r="M17" s="188"/>
      <c r="N17" s="188"/>
      <c r="O17" s="188"/>
      <c r="P17" s="148"/>
      <c r="Q17" s="148"/>
      <c r="R17" s="148"/>
      <c r="S17" s="148"/>
      <c r="T17" s="148"/>
      <c r="U17" s="148"/>
      <c r="V17" s="148"/>
      <c r="W17" s="148"/>
      <c r="X17" s="148"/>
      <c r="Y17" s="148"/>
      <c r="Z17" s="148"/>
    </row>
    <row r="18" spans="1:26" s="149" customFormat="1" ht="45.6">
      <c r="A18" s="145" t="e">
        <f>#REF!</f>
        <v>#REF!</v>
      </c>
      <c r="B18" s="146" t="e">
        <f>#REF!</f>
        <v>#REF!</v>
      </c>
      <c r="C18" s="146">
        <f t="shared" si="0"/>
        <v>0</v>
      </c>
      <c r="D18" s="147">
        <f t="shared" si="1"/>
        <v>0</v>
      </c>
      <c r="E18" s="183">
        <v>3</v>
      </c>
      <c r="F18" s="184" t="s">
        <v>219</v>
      </c>
      <c r="G18" s="184" t="s">
        <v>220</v>
      </c>
      <c r="H18" s="185"/>
      <c r="I18" s="188"/>
      <c r="J18" s="184" t="s">
        <v>221</v>
      </c>
      <c r="K18" s="184"/>
      <c r="L18" s="189"/>
      <c r="M18" s="188"/>
      <c r="N18" s="188"/>
      <c r="O18" s="188"/>
      <c r="P18" s="148"/>
      <c r="Q18" s="148"/>
      <c r="R18" s="148"/>
      <c r="S18" s="148"/>
      <c r="T18" s="148"/>
      <c r="U18" s="148"/>
      <c r="V18" s="148"/>
      <c r="W18" s="148"/>
      <c r="X18" s="148"/>
      <c r="Y18" s="148"/>
      <c r="Z18" s="148"/>
    </row>
    <row r="19" spans="1:26" s="149" customFormat="1" ht="45.6">
      <c r="A19" s="145"/>
      <c r="B19" s="146"/>
      <c r="C19" s="146"/>
      <c r="D19" s="147"/>
      <c r="E19" s="183"/>
      <c r="F19" s="184"/>
      <c r="G19" s="184" t="s">
        <v>222</v>
      </c>
      <c r="H19" s="185"/>
      <c r="I19" s="188"/>
      <c r="J19" s="184" t="s">
        <v>223</v>
      </c>
      <c r="K19" s="184"/>
      <c r="L19" s="189"/>
      <c r="M19" s="188"/>
      <c r="N19" s="188"/>
      <c r="O19" s="188"/>
      <c r="P19" s="148"/>
      <c r="Q19" s="148"/>
      <c r="R19" s="148"/>
      <c r="S19" s="148"/>
      <c r="T19" s="148"/>
      <c r="U19" s="148"/>
      <c r="V19" s="148"/>
      <c r="W19" s="148"/>
      <c r="X19" s="148"/>
      <c r="Y19" s="148"/>
      <c r="Z19" s="148"/>
    </row>
    <row r="20" spans="1:26" s="149" customFormat="1" ht="57">
      <c r="A20" s="145"/>
      <c r="B20" s="146"/>
      <c r="C20" s="146"/>
      <c r="D20" s="147"/>
      <c r="E20" s="183"/>
      <c r="F20" s="184"/>
      <c r="G20" s="184" t="s">
        <v>224</v>
      </c>
      <c r="H20" s="185"/>
      <c r="I20" s="188"/>
      <c r="J20" s="184" t="s">
        <v>225</v>
      </c>
      <c r="K20" s="184"/>
      <c r="L20" s="189"/>
      <c r="M20" s="188"/>
      <c r="N20" s="188"/>
      <c r="O20" s="188"/>
      <c r="P20" s="148"/>
      <c r="Q20" s="148"/>
      <c r="R20" s="148"/>
      <c r="S20" s="148"/>
      <c r="T20" s="148"/>
      <c r="U20" s="148"/>
      <c r="V20" s="148"/>
      <c r="W20" s="148"/>
      <c r="X20" s="148"/>
      <c r="Y20" s="148"/>
      <c r="Z20" s="148"/>
    </row>
    <row r="21" spans="1:26" s="149" customFormat="1" ht="57">
      <c r="A21" s="145" t="e">
        <f>#REF!</f>
        <v>#REF!</v>
      </c>
      <c r="B21" s="146" t="e">
        <f>#REF!</f>
        <v>#REF!</v>
      </c>
      <c r="C21" s="146">
        <f t="shared" si="0"/>
        <v>0</v>
      </c>
      <c r="D21" s="147">
        <f t="shared" si="1"/>
        <v>0</v>
      </c>
      <c r="E21" s="183"/>
      <c r="F21" s="184"/>
      <c r="G21" s="184" t="s">
        <v>226</v>
      </c>
      <c r="H21" s="185"/>
      <c r="I21" s="188"/>
      <c r="J21" s="184" t="s">
        <v>227</v>
      </c>
      <c r="K21" s="184"/>
      <c r="L21" s="189"/>
      <c r="M21" s="188"/>
      <c r="N21" s="188"/>
      <c r="O21" s="188"/>
      <c r="P21" s="148"/>
      <c r="Q21" s="148"/>
      <c r="R21" s="148"/>
      <c r="S21" s="148"/>
      <c r="T21" s="148"/>
      <c r="U21" s="148"/>
      <c r="V21" s="148"/>
      <c r="W21" s="148"/>
      <c r="X21" s="148"/>
      <c r="Y21" s="148"/>
      <c r="Z21" s="148"/>
    </row>
    <row r="22" spans="1:26" s="149" customFormat="1" ht="45.6">
      <c r="A22" s="145"/>
      <c r="B22" s="146"/>
      <c r="C22" s="146"/>
      <c r="D22" s="147"/>
      <c r="E22" s="183">
        <v>4</v>
      </c>
      <c r="F22" s="184" t="s">
        <v>228</v>
      </c>
      <c r="G22" s="184" t="s">
        <v>229</v>
      </c>
      <c r="H22" s="185"/>
      <c r="I22" s="188"/>
      <c r="J22" s="184" t="s">
        <v>188</v>
      </c>
      <c r="K22" s="184"/>
      <c r="L22" s="189"/>
      <c r="M22" s="188"/>
      <c r="N22" s="188"/>
      <c r="O22" s="188"/>
      <c r="P22" s="148"/>
      <c r="Q22" s="148"/>
      <c r="R22" s="148"/>
      <c r="S22" s="148"/>
      <c r="T22" s="148"/>
      <c r="U22" s="148"/>
      <c r="V22" s="148"/>
      <c r="W22" s="148"/>
      <c r="X22" s="148"/>
      <c r="Y22" s="148"/>
      <c r="Z22" s="148"/>
    </row>
    <row r="23" spans="1:26" s="174" customFormat="1" ht="46.95" customHeight="1">
      <c r="A23" s="145" t="e">
        <f>#REF!</f>
        <v>#REF!</v>
      </c>
      <c r="B23" s="146" t="e">
        <f>#REF!</f>
        <v>#REF!</v>
      </c>
      <c r="C23" s="146">
        <f t="shared" si="0"/>
        <v>0</v>
      </c>
      <c r="D23" s="147">
        <f t="shared" si="1"/>
        <v>0</v>
      </c>
      <c r="E23" s="183"/>
      <c r="F23" s="184"/>
      <c r="G23" s="184" t="s">
        <v>467</v>
      </c>
      <c r="H23" s="185"/>
      <c r="I23" s="188"/>
      <c r="J23" s="184" t="s">
        <v>468</v>
      </c>
      <c r="K23" s="184"/>
      <c r="L23" s="189"/>
      <c r="M23" s="188"/>
      <c r="N23" s="188"/>
      <c r="O23" s="188"/>
      <c r="P23" s="173"/>
      <c r="Q23" s="173"/>
      <c r="R23" s="173"/>
      <c r="S23" s="173"/>
      <c r="T23" s="173"/>
      <c r="U23" s="173"/>
      <c r="V23" s="173"/>
      <c r="W23" s="173"/>
      <c r="X23" s="173"/>
      <c r="Y23" s="173"/>
      <c r="Z23" s="173"/>
    </row>
    <row r="24" spans="1:26" s="174" customFormat="1" ht="45.6">
      <c r="A24" s="145"/>
      <c r="B24" s="146"/>
      <c r="C24" s="146"/>
      <c r="D24" s="147"/>
      <c r="E24" s="183">
        <v>5</v>
      </c>
      <c r="F24" s="184" t="s">
        <v>230</v>
      </c>
      <c r="G24" s="184" t="s">
        <v>469</v>
      </c>
      <c r="H24" s="185"/>
      <c r="I24" s="188"/>
      <c r="J24" s="184" t="s">
        <v>470</v>
      </c>
      <c r="K24" s="184"/>
      <c r="L24" s="189"/>
      <c r="M24" s="188"/>
      <c r="N24" s="188"/>
      <c r="O24" s="188"/>
      <c r="P24" s="173"/>
      <c r="Q24" s="173"/>
      <c r="R24" s="173"/>
      <c r="S24" s="173"/>
      <c r="T24" s="173"/>
      <c r="U24" s="173"/>
      <c r="V24" s="173"/>
      <c r="W24" s="173"/>
      <c r="X24" s="173"/>
      <c r="Y24" s="173"/>
      <c r="Z24" s="173"/>
    </row>
    <row r="25" spans="1:26" s="149" customFormat="1" ht="102.6">
      <c r="A25" s="145"/>
      <c r="B25" s="146"/>
      <c r="C25" s="146"/>
      <c r="D25" s="147"/>
      <c r="E25" s="183">
        <v>6</v>
      </c>
      <c r="F25" s="184" t="s">
        <v>231</v>
      </c>
      <c r="G25" s="184" t="s">
        <v>232</v>
      </c>
      <c r="H25" s="185"/>
      <c r="I25" s="188"/>
      <c r="J25" s="184" t="s">
        <v>188</v>
      </c>
      <c r="K25" s="184"/>
      <c r="L25" s="189"/>
      <c r="M25" s="188"/>
      <c r="N25" s="188"/>
      <c r="O25" s="188"/>
      <c r="P25" s="148"/>
      <c r="Q25" s="148"/>
      <c r="R25" s="148"/>
      <c r="S25" s="148"/>
      <c r="T25" s="148"/>
      <c r="U25" s="148"/>
      <c r="V25" s="148"/>
      <c r="W25" s="148"/>
      <c r="X25" s="148"/>
      <c r="Y25" s="148"/>
      <c r="Z25" s="148"/>
    </row>
    <row r="26" spans="1:26" s="174" customFormat="1" ht="34.200000000000003">
      <c r="A26" s="145"/>
      <c r="B26" s="146"/>
      <c r="C26" s="146"/>
      <c r="D26" s="147"/>
      <c r="E26" s="183"/>
      <c r="F26" s="184"/>
      <c r="G26" s="184" t="s">
        <v>467</v>
      </c>
      <c r="H26" s="185"/>
      <c r="I26" s="188"/>
      <c r="J26" s="184" t="s">
        <v>471</v>
      </c>
      <c r="K26" s="184"/>
      <c r="L26" s="189"/>
      <c r="M26" s="188"/>
      <c r="N26" s="188"/>
      <c r="O26" s="188"/>
      <c r="P26" s="173"/>
      <c r="Q26" s="173"/>
      <c r="R26" s="173"/>
      <c r="S26" s="173"/>
      <c r="T26" s="173"/>
      <c r="U26" s="173"/>
      <c r="V26" s="173"/>
      <c r="W26" s="173"/>
      <c r="X26" s="173"/>
      <c r="Y26" s="173"/>
      <c r="Z26" s="173"/>
    </row>
    <row r="27" spans="1:26" s="174" customFormat="1" ht="91.8" customHeight="1">
      <c r="A27" s="145"/>
      <c r="B27" s="146"/>
      <c r="C27" s="146"/>
      <c r="D27" s="147"/>
      <c r="E27" s="183">
        <v>7</v>
      </c>
      <c r="F27" s="184" t="s">
        <v>233</v>
      </c>
      <c r="G27" s="184" t="s">
        <v>234</v>
      </c>
      <c r="H27" s="185"/>
      <c r="I27" s="188"/>
      <c r="J27" s="184" t="s">
        <v>123</v>
      </c>
      <c r="K27" s="184"/>
      <c r="L27" s="189"/>
      <c r="M27" s="188"/>
      <c r="N27" s="188"/>
      <c r="O27" s="188"/>
      <c r="P27" s="173"/>
      <c r="Q27" s="173"/>
      <c r="R27" s="173"/>
      <c r="S27" s="173"/>
      <c r="T27" s="173"/>
      <c r="U27" s="173"/>
      <c r="V27" s="173"/>
      <c r="W27" s="173"/>
      <c r="X27" s="173"/>
      <c r="Y27" s="173"/>
      <c r="Z27" s="173"/>
    </row>
    <row r="28" spans="1:26" s="149" customFormat="1" ht="34.200000000000003">
      <c r="A28" s="145"/>
      <c r="B28" s="146"/>
      <c r="C28" s="146"/>
      <c r="D28" s="147"/>
      <c r="E28" s="183"/>
      <c r="F28" s="184"/>
      <c r="G28" s="184" t="s">
        <v>235</v>
      </c>
      <c r="H28" s="185"/>
      <c r="I28" s="188"/>
      <c r="J28" s="184" t="s">
        <v>125</v>
      </c>
      <c r="K28" s="184"/>
      <c r="L28" s="189"/>
      <c r="M28" s="188"/>
      <c r="N28" s="188"/>
      <c r="O28" s="188"/>
      <c r="P28" s="148"/>
      <c r="Q28" s="148"/>
      <c r="R28" s="148"/>
      <c r="S28" s="148"/>
      <c r="T28" s="148"/>
      <c r="U28" s="148"/>
      <c r="V28" s="148"/>
      <c r="W28" s="148"/>
      <c r="X28" s="148"/>
      <c r="Y28" s="148"/>
      <c r="Z28" s="148"/>
    </row>
    <row r="29" spans="1:26" s="149" customFormat="1" ht="34.200000000000003">
      <c r="A29" s="145"/>
      <c r="B29" s="146"/>
      <c r="C29" s="146"/>
      <c r="D29" s="147"/>
      <c r="E29" s="183"/>
      <c r="F29" s="184"/>
      <c r="G29" s="184" t="s">
        <v>467</v>
      </c>
      <c r="H29" s="185"/>
      <c r="I29" s="188"/>
      <c r="J29" s="184" t="s">
        <v>236</v>
      </c>
      <c r="K29" s="184"/>
      <c r="L29" s="189"/>
      <c r="M29" s="188"/>
      <c r="N29" s="188"/>
      <c r="O29" s="188"/>
      <c r="P29" s="148"/>
      <c r="Q29" s="148"/>
      <c r="R29" s="148"/>
      <c r="S29" s="148"/>
      <c r="T29" s="148"/>
      <c r="U29" s="148"/>
      <c r="V29" s="148"/>
      <c r="W29" s="148"/>
      <c r="X29" s="148"/>
      <c r="Y29" s="148"/>
      <c r="Z29" s="148"/>
    </row>
    <row r="30" spans="1:26" s="149" customFormat="1" ht="34.200000000000003">
      <c r="A30" s="145"/>
      <c r="B30" s="146"/>
      <c r="C30" s="146"/>
      <c r="D30" s="147"/>
      <c r="E30" s="183"/>
      <c r="F30" s="184"/>
      <c r="G30" s="184" t="s">
        <v>472</v>
      </c>
      <c r="H30" s="185"/>
      <c r="I30" s="188"/>
      <c r="J30" s="184" t="s">
        <v>473</v>
      </c>
      <c r="K30" s="184"/>
      <c r="L30" s="189"/>
      <c r="M30" s="188"/>
      <c r="N30" s="188"/>
      <c r="O30" s="188"/>
      <c r="P30" s="148"/>
      <c r="Q30" s="148"/>
      <c r="R30" s="148"/>
      <c r="S30" s="148"/>
      <c r="T30" s="148"/>
      <c r="U30" s="148"/>
      <c r="V30" s="148"/>
      <c r="W30" s="148"/>
      <c r="X30" s="148"/>
      <c r="Y30" s="148"/>
      <c r="Z30" s="148"/>
    </row>
    <row r="31" spans="1:26" s="149" customFormat="1" ht="45.6">
      <c r="A31" s="145"/>
      <c r="B31" s="146"/>
      <c r="C31" s="146"/>
      <c r="D31" s="147"/>
      <c r="E31" s="183">
        <v>8</v>
      </c>
      <c r="F31" s="184" t="s">
        <v>237</v>
      </c>
      <c r="G31" s="184" t="s">
        <v>474</v>
      </c>
      <c r="H31" s="185"/>
      <c r="I31" s="188"/>
      <c r="J31" s="184" t="s">
        <v>131</v>
      </c>
      <c r="K31" s="184"/>
      <c r="L31" s="189"/>
      <c r="M31" s="188"/>
      <c r="N31" s="188"/>
      <c r="O31" s="188"/>
      <c r="P31" s="148"/>
      <c r="Q31" s="148"/>
      <c r="R31" s="148"/>
      <c r="S31" s="148"/>
      <c r="T31" s="148"/>
      <c r="U31" s="148"/>
      <c r="V31" s="148"/>
      <c r="W31" s="148"/>
      <c r="X31" s="148"/>
      <c r="Y31" s="148"/>
      <c r="Z31" s="148"/>
    </row>
    <row r="32" spans="1:26" s="149" customFormat="1" ht="34.200000000000003">
      <c r="A32" s="145"/>
      <c r="B32" s="146"/>
      <c r="C32" s="146"/>
      <c r="D32" s="147"/>
      <c r="E32" s="183">
        <v>9</v>
      </c>
      <c r="F32" s="184" t="s">
        <v>238</v>
      </c>
      <c r="G32" s="184" t="s">
        <v>475</v>
      </c>
      <c r="H32" s="185"/>
      <c r="I32" s="188"/>
      <c r="J32" s="184" t="s">
        <v>207</v>
      </c>
      <c r="K32" s="184"/>
      <c r="L32" s="189"/>
      <c r="M32" s="188"/>
      <c r="N32" s="188"/>
      <c r="O32" s="188"/>
      <c r="P32" s="148"/>
      <c r="Q32" s="148"/>
      <c r="R32" s="148"/>
      <c r="S32" s="148"/>
      <c r="T32" s="148"/>
      <c r="U32" s="148"/>
      <c r="V32" s="148"/>
      <c r="W32" s="148"/>
      <c r="X32" s="148"/>
      <c r="Y32" s="148"/>
      <c r="Z32" s="148"/>
    </row>
    <row r="33" spans="1:26" s="149" customFormat="1" ht="48.6" customHeight="1">
      <c r="A33" s="145"/>
      <c r="B33" s="146"/>
      <c r="C33" s="146"/>
      <c r="D33" s="147"/>
      <c r="E33" s="183"/>
      <c r="F33" s="184"/>
      <c r="G33" s="184" t="s">
        <v>476</v>
      </c>
      <c r="H33" s="185"/>
      <c r="I33" s="188"/>
      <c r="J33" s="184" t="s">
        <v>136</v>
      </c>
      <c r="K33" s="184"/>
      <c r="L33" s="189"/>
      <c r="M33" s="188"/>
      <c r="N33" s="188"/>
      <c r="O33" s="188"/>
      <c r="P33" s="148"/>
      <c r="Q33" s="148"/>
      <c r="R33" s="148"/>
      <c r="S33" s="148"/>
      <c r="T33" s="148"/>
      <c r="U33" s="148"/>
      <c r="V33" s="148"/>
      <c r="W33" s="148"/>
      <c r="X33" s="148"/>
      <c r="Y33" s="148"/>
      <c r="Z33" s="148"/>
    </row>
    <row r="34" spans="1:26" s="149" customFormat="1" ht="48.6" customHeight="1">
      <c r="A34" s="145"/>
      <c r="B34" s="146"/>
      <c r="C34" s="146"/>
      <c r="D34" s="147"/>
      <c r="E34" s="183"/>
      <c r="F34" s="184"/>
      <c r="G34" s="184" t="s">
        <v>477</v>
      </c>
      <c r="H34" s="185"/>
      <c r="I34" s="188"/>
      <c r="J34" s="184" t="s">
        <v>210</v>
      </c>
      <c r="K34" s="184"/>
      <c r="L34" s="189"/>
      <c r="M34" s="188"/>
      <c r="N34" s="188"/>
      <c r="O34" s="188"/>
      <c r="P34" s="148"/>
      <c r="Q34" s="148"/>
      <c r="R34" s="148"/>
      <c r="S34" s="148"/>
      <c r="T34" s="148"/>
      <c r="U34" s="148"/>
      <c r="V34" s="148"/>
      <c r="W34" s="148"/>
      <c r="X34" s="148"/>
      <c r="Y34" s="148"/>
      <c r="Z34" s="148"/>
    </row>
    <row r="35" spans="1:26" s="149" customFormat="1" ht="49.2" customHeight="1" thickBot="1">
      <c r="A35" s="145"/>
      <c r="B35" s="146"/>
      <c r="C35" s="146"/>
      <c r="D35" s="147"/>
      <c r="E35" s="183"/>
      <c r="F35" s="184"/>
      <c r="G35" s="184" t="s">
        <v>239</v>
      </c>
      <c r="H35" s="185"/>
      <c r="I35" s="188"/>
      <c r="J35" s="184" t="s">
        <v>140</v>
      </c>
      <c r="K35" s="184"/>
      <c r="L35" s="189"/>
      <c r="M35" s="188"/>
      <c r="N35" s="188"/>
      <c r="O35" s="188"/>
      <c r="P35" s="148"/>
      <c r="Q35" s="148"/>
      <c r="R35" s="148"/>
      <c r="S35" s="148"/>
      <c r="T35" s="148"/>
      <c r="U35" s="148"/>
      <c r="V35" s="148"/>
      <c r="W35" s="148"/>
      <c r="X35" s="148"/>
      <c r="Y35" s="148"/>
      <c r="Z35" s="148"/>
    </row>
    <row r="36" spans="1:26" s="149" customFormat="1" ht="27" customHeight="1" thickBot="1">
      <c r="A36" s="150" t="e">
        <f>#REF!</f>
        <v>#REF!</v>
      </c>
      <c r="B36" s="151" t="e">
        <f>#REF!</f>
        <v>#REF!</v>
      </c>
      <c r="C36" s="151">
        <f>$I$5</f>
        <v>0</v>
      </c>
      <c r="D36" s="152">
        <f>$I$7</f>
        <v>0</v>
      </c>
      <c r="E36" s="179"/>
      <c r="F36" s="180" t="s">
        <v>46</v>
      </c>
      <c r="G36" s="181"/>
      <c r="H36" s="181"/>
      <c r="I36" s="181"/>
      <c r="J36" s="182"/>
      <c r="K36" s="182"/>
      <c r="L36" s="181"/>
      <c r="M36" s="181"/>
      <c r="N36" s="181"/>
      <c r="O36" s="181"/>
    </row>
    <row r="37" spans="1:26" ht="22.5" customHeight="1"/>
  </sheetData>
  <sheetProtection formatCells="0" formatColumns="0" formatRows="0" insertRows="0" insertHyperlinks="0" deleteRows="0" sort="0" autoFilter="0" pivotTables="0"/>
  <mergeCells count="19">
    <mergeCell ref="H5:I6"/>
    <mergeCell ref="L5:O5"/>
    <mergeCell ref="L6:O6"/>
    <mergeCell ref="G2:I2"/>
    <mergeCell ref="L2:O2"/>
    <mergeCell ref="G3:I4"/>
    <mergeCell ref="L3:O3"/>
    <mergeCell ref="L4:O4"/>
    <mergeCell ref="G12:G13"/>
    <mergeCell ref="H7:I8"/>
    <mergeCell ref="L7:O7"/>
    <mergeCell ref="E11:F11"/>
    <mergeCell ref="H11:H13"/>
    <mergeCell ref="I11:I13"/>
    <mergeCell ref="J11:J13"/>
    <mergeCell ref="K11:K13"/>
    <mergeCell ref="L11:N11"/>
    <mergeCell ref="O11:O13"/>
    <mergeCell ref="E12:F12"/>
  </mergeCells>
  <hyperlinks>
    <hyperlink ref="I14" r:id="rId1" xr:uid="{00000000-0004-0000-0D00-000000000000}"/>
  </hyperlinks>
  <pageMargins left="0.7" right="0.7" top="0.75" bottom="0.75" header="0.3" footer="0.3"/>
  <pageSetup paperSize="9" orientation="portrait" r:id="rId2"/>
  <headerFooter>
    <oddHeader>&amp;L&amp;G</oddHeader>
    <oddFooter>&amp;LTemplate ID: TP_TE_TestCase_V.2.0.0
Copyright&amp;RFile Name: &amp;F
Page: &amp;P/&amp;N</oddFooter>
  </headerFooter>
  <drawing r:id="rId3"/>
  <legacyDrawing r:id="rId4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0513" r:id="rId6" name="Button 1">
              <controlPr defaultSize="0" print="0" autoFill="0" autoPict="0" macro="[0]!Home">
                <anchor moveWithCells="1" sizeWithCells="1">
                  <from>
                    <xdr:col>6</xdr:col>
                    <xdr:colOff>381000</xdr:colOff>
                    <xdr:row>8</xdr:row>
                    <xdr:rowOff>236220</xdr:rowOff>
                  </from>
                  <to>
                    <xdr:col>6</xdr:col>
                    <xdr:colOff>1219200</xdr:colOff>
                    <xdr:row>9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Z199"/>
  <sheetViews>
    <sheetView showGridLines="0" topLeftCell="E149" workbookViewId="0">
      <selection activeCell="I14" sqref="I14"/>
    </sheetView>
  </sheetViews>
  <sheetFormatPr defaultColWidth="9.28515625" defaultRowHeight="11.4"/>
  <cols>
    <col min="1" max="1" width="11.85546875" style="10" hidden="1" customWidth="1"/>
    <col min="2" max="2" width="14.85546875" style="2" hidden="1" customWidth="1"/>
    <col min="3" max="3" width="17.28515625" style="2" hidden="1" customWidth="1"/>
    <col min="4" max="4" width="18.28515625" style="2" hidden="1" customWidth="1"/>
    <col min="5" max="5" width="8.42578125" style="2" customWidth="1"/>
    <col min="6" max="6" width="25.28515625" style="2" customWidth="1"/>
    <col min="7" max="7" width="39.85546875" style="2" customWidth="1"/>
    <col min="8" max="8" width="13.28515625" style="2" customWidth="1"/>
    <col min="9" max="9" width="18.42578125" style="2" customWidth="1"/>
    <col min="10" max="10" width="23.7109375" style="2" customWidth="1"/>
    <col min="11" max="11" width="35.140625" style="2" customWidth="1"/>
    <col min="12" max="12" width="9.85546875" style="2" customWidth="1"/>
    <col min="13" max="13" width="9.42578125" style="2" customWidth="1"/>
    <col min="14" max="14" width="9.7109375" style="2" customWidth="1"/>
    <col min="15" max="15" width="14.28515625" style="2" customWidth="1"/>
    <col min="16" max="16" width="23.85546875" style="2" customWidth="1"/>
    <col min="17" max="16384" width="9.28515625" style="2"/>
  </cols>
  <sheetData>
    <row r="1" spans="1:26" ht="18.75" customHeight="1" thickBot="1">
      <c r="K1" s="1"/>
      <c r="L1" s="1"/>
      <c r="M1" s="1"/>
      <c r="N1" s="1"/>
    </row>
    <row r="2" spans="1:26" s="1" customFormat="1" ht="33" customHeight="1">
      <c r="A2" s="11"/>
      <c r="E2" s="32" t="s">
        <v>10</v>
      </c>
      <c r="F2" s="33"/>
      <c r="G2" s="491" t="s">
        <v>100</v>
      </c>
      <c r="H2" s="492"/>
      <c r="I2" s="493"/>
      <c r="J2" s="7"/>
      <c r="K2" s="82" t="s">
        <v>22</v>
      </c>
      <c r="L2" s="470" t="s">
        <v>75</v>
      </c>
      <c r="M2" s="471"/>
      <c r="N2" s="471"/>
      <c r="O2" s="472"/>
    </row>
    <row r="3" spans="1:26" s="1" customFormat="1" ht="22.5" customHeight="1">
      <c r="A3" s="11"/>
      <c r="E3" s="34" t="s">
        <v>9</v>
      </c>
      <c r="F3" s="35"/>
      <c r="G3" s="480" t="str">
        <f>VLOOKUP(G2,'Test Case'!F13:G65515,2,TRUE)</f>
        <v>ทดสอบการบันทึกรหัสขนาดในกรณี Validate ข้อมูล</v>
      </c>
      <c r="H3" s="481"/>
      <c r="I3" s="482"/>
      <c r="J3" s="8"/>
      <c r="K3" s="36" t="s">
        <v>6</v>
      </c>
      <c r="L3" s="473" t="s">
        <v>89</v>
      </c>
      <c r="M3" s="474"/>
      <c r="N3" s="474"/>
      <c r="O3" s="475"/>
    </row>
    <row r="4" spans="1:26" s="1" customFormat="1" ht="23.25" customHeight="1" thickBot="1">
      <c r="A4" s="11"/>
      <c r="E4" s="34"/>
      <c r="F4" s="35"/>
      <c r="G4" s="483"/>
      <c r="H4" s="484"/>
      <c r="I4" s="485"/>
      <c r="J4" s="8"/>
      <c r="K4" s="36" t="s">
        <v>11</v>
      </c>
      <c r="L4" s="476" t="s">
        <v>69</v>
      </c>
      <c r="M4" s="477"/>
      <c r="N4" s="477"/>
      <c r="O4" s="478"/>
    </row>
    <row r="5" spans="1:26" s="1" customFormat="1" ht="22.5" customHeight="1">
      <c r="A5" s="11"/>
      <c r="E5" s="130"/>
      <c r="F5" s="131"/>
      <c r="G5" s="128"/>
      <c r="H5" s="494"/>
      <c r="I5" s="494"/>
      <c r="J5" s="5"/>
      <c r="K5" s="36" t="s">
        <v>4</v>
      </c>
      <c r="L5" s="476" t="s">
        <v>76</v>
      </c>
      <c r="M5" s="477"/>
      <c r="N5" s="477"/>
      <c r="O5" s="478"/>
    </row>
    <row r="6" spans="1:26" s="1" customFormat="1" ht="22.5" customHeight="1">
      <c r="A6" s="11"/>
      <c r="E6" s="130"/>
      <c r="F6" s="131"/>
      <c r="G6" s="129"/>
      <c r="H6" s="494"/>
      <c r="I6" s="494"/>
      <c r="J6" s="5"/>
      <c r="K6" s="36" t="s">
        <v>55</v>
      </c>
      <c r="L6" s="479">
        <v>43330</v>
      </c>
      <c r="M6" s="477"/>
      <c r="N6" s="477"/>
      <c r="O6" s="478"/>
    </row>
    <row r="7" spans="1:26" s="1" customFormat="1" ht="22.5" customHeight="1" thickBot="1">
      <c r="A7" s="11"/>
      <c r="E7" s="130"/>
      <c r="F7" s="131"/>
      <c r="G7" s="128"/>
      <c r="H7" s="506"/>
      <c r="I7" s="507"/>
      <c r="J7" s="5"/>
      <c r="K7" s="37" t="s">
        <v>54</v>
      </c>
      <c r="L7" s="510">
        <f>G11</f>
        <v>183</v>
      </c>
      <c r="M7" s="511"/>
      <c r="N7" s="511"/>
      <c r="O7" s="512"/>
    </row>
    <row r="8" spans="1:26" s="1" customFormat="1" ht="22.5" customHeight="1">
      <c r="A8" s="11"/>
      <c r="E8" s="130"/>
      <c r="F8" s="131"/>
      <c r="G8" s="129"/>
      <c r="H8" s="507"/>
      <c r="I8" s="507"/>
      <c r="J8" s="5"/>
      <c r="K8"/>
      <c r="N8" s="9"/>
    </row>
    <row r="9" spans="1:26" s="1" customFormat="1" ht="22.5" customHeight="1">
      <c r="A9" s="11"/>
      <c r="H9" s="2"/>
      <c r="I9" s="2"/>
      <c r="J9" s="5"/>
      <c r="K9"/>
      <c r="M9" s="2"/>
      <c r="N9" s="9"/>
    </row>
    <row r="10" spans="1:26" s="1" customFormat="1" ht="29.25" customHeight="1" thickBot="1">
      <c r="A10" s="11"/>
      <c r="J10" s="5"/>
      <c r="K10" s="2"/>
      <c r="L10" s="2"/>
      <c r="M10" s="4"/>
      <c r="N10" s="4"/>
      <c r="O10" s="4"/>
    </row>
    <row r="11" spans="1:26" s="1" customFormat="1" ht="29.25" customHeight="1">
      <c r="A11" s="89"/>
      <c r="B11" s="90"/>
      <c r="C11" s="90"/>
      <c r="D11" s="90"/>
      <c r="E11" s="508" t="s">
        <v>45</v>
      </c>
      <c r="F11" s="509"/>
      <c r="G11" s="93">
        <f>COUNTA(G14:G504)</f>
        <v>183</v>
      </c>
      <c r="H11" s="488" t="s">
        <v>51</v>
      </c>
      <c r="I11" s="488" t="s">
        <v>5</v>
      </c>
      <c r="J11" s="488" t="s">
        <v>3</v>
      </c>
      <c r="K11" s="498" t="s">
        <v>13</v>
      </c>
      <c r="L11" s="501" t="s">
        <v>48</v>
      </c>
      <c r="M11" s="502"/>
      <c r="N11" s="503"/>
      <c r="O11" s="495" t="s">
        <v>52</v>
      </c>
      <c r="P11" s="3"/>
    </row>
    <row r="12" spans="1:26" s="1" customFormat="1" ht="16.5" customHeight="1" thickBot="1">
      <c r="A12" s="91"/>
      <c r="B12" s="92" t="s">
        <v>89</v>
      </c>
      <c r="C12" s="92"/>
      <c r="D12" s="92"/>
      <c r="E12" s="504">
        <f>COUNTA(E14:E504)</f>
        <v>11</v>
      </c>
      <c r="F12" s="505"/>
      <c r="G12" s="486" t="s">
        <v>44</v>
      </c>
      <c r="H12" s="489"/>
      <c r="I12" s="489"/>
      <c r="J12" s="489"/>
      <c r="K12" s="499"/>
      <c r="L12" s="94">
        <f>COUNTA(L14:L504)</f>
        <v>0</v>
      </c>
      <c r="M12" s="95">
        <f>COUNTA(M14:M504)</f>
        <v>0</v>
      </c>
      <c r="N12" s="96">
        <f>COUNTA(N14:N504)</f>
        <v>0</v>
      </c>
      <c r="O12" s="496"/>
      <c r="P12" s="3"/>
    </row>
    <row r="13" spans="1:26" s="1" customFormat="1" ht="22.5" customHeight="1" thickBot="1">
      <c r="A13" s="23" t="s">
        <v>7</v>
      </c>
      <c r="B13" s="24" t="s">
        <v>18</v>
      </c>
      <c r="C13" s="25" t="s">
        <v>19</v>
      </c>
      <c r="D13" s="25" t="s">
        <v>17</v>
      </c>
      <c r="E13" s="175" t="s">
        <v>43</v>
      </c>
      <c r="F13" s="134" t="s">
        <v>12</v>
      </c>
      <c r="G13" s="486"/>
      <c r="H13" s="489"/>
      <c r="I13" s="489"/>
      <c r="J13" s="489"/>
      <c r="K13" s="499"/>
      <c r="L13" s="176" t="s">
        <v>42</v>
      </c>
      <c r="M13" s="177" t="s">
        <v>47</v>
      </c>
      <c r="N13" s="178" t="s">
        <v>53</v>
      </c>
      <c r="O13" s="496"/>
      <c r="P13" s="3"/>
    </row>
    <row r="14" spans="1:26" s="6" customFormat="1" ht="307.8">
      <c r="A14" s="13"/>
      <c r="B14" s="12"/>
      <c r="C14" s="12"/>
      <c r="D14" s="14"/>
      <c r="E14" s="190">
        <v>1</v>
      </c>
      <c r="F14" s="191" t="s">
        <v>478</v>
      </c>
      <c r="G14" s="191" t="s">
        <v>464</v>
      </c>
      <c r="H14" s="191"/>
      <c r="I14" s="193" t="s">
        <v>465</v>
      </c>
      <c r="J14" s="191" t="s">
        <v>466</v>
      </c>
      <c r="K14" s="191"/>
      <c r="L14" s="190"/>
      <c r="M14" s="194"/>
      <c r="N14" s="194"/>
      <c r="O14" s="194"/>
      <c r="P14" s="198"/>
      <c r="Q14" s="198"/>
      <c r="R14" s="198"/>
      <c r="S14" s="198"/>
      <c r="T14" s="198"/>
      <c r="U14" s="198"/>
      <c r="V14" s="198"/>
      <c r="W14" s="198"/>
      <c r="X14" s="198"/>
      <c r="Y14" s="198"/>
      <c r="Z14" s="198"/>
    </row>
    <row r="15" spans="1:26" s="6" customFormat="1" ht="34.200000000000003">
      <c r="A15" s="13" t="e">
        <f>#REF!</f>
        <v>#REF!</v>
      </c>
      <c r="B15" s="12" t="e">
        <f>#REF!</f>
        <v>#REF!</v>
      </c>
      <c r="C15" s="12">
        <f t="shared" ref="C15:C44" si="0">$I$5</f>
        <v>0</v>
      </c>
      <c r="D15" s="14">
        <f t="shared" ref="D15:D44" si="1">$I$7</f>
        <v>0</v>
      </c>
      <c r="E15" s="190">
        <v>2</v>
      </c>
      <c r="F15" s="191" t="s">
        <v>278</v>
      </c>
      <c r="G15" s="191" t="s">
        <v>479</v>
      </c>
      <c r="H15" s="191"/>
      <c r="I15" s="195"/>
      <c r="J15" s="191" t="s">
        <v>280</v>
      </c>
      <c r="K15" s="191"/>
      <c r="L15" s="190"/>
      <c r="M15" s="194"/>
      <c r="N15" s="194"/>
      <c r="O15" s="194"/>
      <c r="P15" s="198"/>
      <c r="Q15" s="198"/>
      <c r="R15" s="198"/>
      <c r="S15" s="198"/>
      <c r="T15" s="198"/>
      <c r="U15" s="198"/>
      <c r="V15" s="198"/>
      <c r="W15" s="198"/>
      <c r="X15" s="198"/>
      <c r="Y15" s="198"/>
      <c r="Z15" s="198"/>
    </row>
    <row r="16" spans="1:26" s="6" customFormat="1" ht="27" customHeight="1">
      <c r="A16" s="13"/>
      <c r="B16" s="12"/>
      <c r="C16" s="12"/>
      <c r="D16" s="14"/>
      <c r="E16" s="194"/>
      <c r="F16" s="194"/>
      <c r="G16" s="191" t="s">
        <v>281</v>
      </c>
      <c r="H16" s="191"/>
      <c r="I16" s="195"/>
      <c r="J16" s="195" t="s">
        <v>282</v>
      </c>
      <c r="K16" s="191"/>
      <c r="L16" s="190"/>
      <c r="M16" s="194"/>
      <c r="N16" s="194"/>
      <c r="O16" s="194"/>
      <c r="P16" s="198"/>
      <c r="Q16" s="198"/>
      <c r="R16" s="198"/>
      <c r="S16" s="198"/>
      <c r="T16" s="198"/>
      <c r="U16" s="198"/>
      <c r="V16" s="198"/>
      <c r="W16" s="198"/>
      <c r="X16" s="198"/>
      <c r="Y16" s="198"/>
      <c r="Z16" s="198"/>
    </row>
    <row r="17" spans="1:26" s="6" customFormat="1" ht="27" customHeight="1">
      <c r="A17" s="13" t="e">
        <f>#REF!</f>
        <v>#REF!</v>
      </c>
      <c r="B17" s="12" t="e">
        <f>#REF!</f>
        <v>#REF!</v>
      </c>
      <c r="C17" s="12">
        <f t="shared" si="0"/>
        <v>0</v>
      </c>
      <c r="D17" s="14">
        <f t="shared" si="1"/>
        <v>0</v>
      </c>
      <c r="E17" s="190"/>
      <c r="F17" s="195"/>
      <c r="G17" s="191" t="s">
        <v>480</v>
      </c>
      <c r="H17" s="191"/>
      <c r="I17" s="195"/>
      <c r="J17" s="195" t="s">
        <v>284</v>
      </c>
      <c r="K17" s="191"/>
      <c r="L17" s="190"/>
      <c r="M17" s="194"/>
      <c r="N17" s="194"/>
      <c r="O17" s="194"/>
      <c r="P17" s="198"/>
      <c r="Q17" s="198"/>
      <c r="R17" s="198"/>
      <c r="S17" s="198"/>
      <c r="T17" s="198"/>
      <c r="U17" s="198"/>
      <c r="V17" s="198"/>
      <c r="W17" s="198"/>
      <c r="X17" s="198"/>
      <c r="Y17" s="198"/>
      <c r="Z17" s="198"/>
    </row>
    <row r="18" spans="1:26" s="6" customFormat="1" ht="27" customHeight="1">
      <c r="A18" s="13" t="e">
        <f>#REF!</f>
        <v>#REF!</v>
      </c>
      <c r="B18" s="12" t="e">
        <f>#REF!</f>
        <v>#REF!</v>
      </c>
      <c r="C18" s="12">
        <f t="shared" si="0"/>
        <v>0</v>
      </c>
      <c r="D18" s="14">
        <f t="shared" si="1"/>
        <v>0</v>
      </c>
      <c r="E18" s="190"/>
      <c r="F18" s="195"/>
      <c r="G18" s="191" t="s">
        <v>481</v>
      </c>
      <c r="H18" s="191"/>
      <c r="I18" s="195"/>
      <c r="J18" s="191" t="s">
        <v>280</v>
      </c>
      <c r="K18" s="191"/>
      <c r="L18" s="190"/>
      <c r="M18" s="194"/>
      <c r="N18" s="194"/>
      <c r="O18" s="194"/>
      <c r="P18" s="198"/>
      <c r="Q18" s="198"/>
      <c r="R18" s="198"/>
      <c r="S18" s="198"/>
      <c r="T18" s="198"/>
      <c r="U18" s="198"/>
      <c r="V18" s="198"/>
      <c r="W18" s="198"/>
      <c r="X18" s="198"/>
      <c r="Y18" s="198"/>
      <c r="Z18" s="198"/>
    </row>
    <row r="19" spans="1:26" s="6" customFormat="1" ht="27" customHeight="1">
      <c r="A19" s="13" t="e">
        <f>#REF!</f>
        <v>#REF!</v>
      </c>
      <c r="B19" s="12" t="e">
        <f>#REF!</f>
        <v>#REF!</v>
      </c>
      <c r="C19" s="12">
        <f t="shared" si="0"/>
        <v>0</v>
      </c>
      <c r="D19" s="14">
        <f t="shared" si="1"/>
        <v>0</v>
      </c>
      <c r="E19" s="190"/>
      <c r="F19" s="195"/>
      <c r="G19" s="191" t="s">
        <v>286</v>
      </c>
      <c r="H19" s="191"/>
      <c r="I19" s="195"/>
      <c r="J19" s="195" t="s">
        <v>282</v>
      </c>
      <c r="K19" s="191"/>
      <c r="L19" s="190"/>
      <c r="M19" s="194"/>
      <c r="N19" s="194"/>
      <c r="O19" s="194"/>
      <c r="P19" s="198"/>
      <c r="Q19" s="198"/>
      <c r="R19" s="198"/>
      <c r="S19" s="198"/>
      <c r="T19" s="198"/>
      <c r="U19" s="198"/>
      <c r="V19" s="198"/>
      <c r="W19" s="198"/>
      <c r="X19" s="198"/>
      <c r="Y19" s="198"/>
      <c r="Z19" s="198"/>
    </row>
    <row r="20" spans="1:26" s="6" customFormat="1" ht="27" customHeight="1">
      <c r="A20" s="13" t="e">
        <f>#REF!</f>
        <v>#REF!</v>
      </c>
      <c r="B20" s="12" t="e">
        <f>#REF!</f>
        <v>#REF!</v>
      </c>
      <c r="C20" s="12">
        <f t="shared" si="0"/>
        <v>0</v>
      </c>
      <c r="D20" s="14">
        <f t="shared" si="1"/>
        <v>0</v>
      </c>
      <c r="E20" s="190"/>
      <c r="F20" s="195"/>
      <c r="G20" s="191" t="s">
        <v>482</v>
      </c>
      <c r="H20" s="191"/>
      <c r="I20" s="195"/>
      <c r="J20" s="195" t="s">
        <v>288</v>
      </c>
      <c r="K20" s="191"/>
      <c r="L20" s="190"/>
      <c r="M20" s="194"/>
      <c r="N20" s="194"/>
      <c r="O20" s="194"/>
      <c r="P20" s="198"/>
      <c r="Q20" s="198"/>
      <c r="R20" s="198"/>
      <c r="S20" s="198"/>
      <c r="T20" s="198"/>
      <c r="U20" s="198"/>
      <c r="V20" s="198"/>
      <c r="W20" s="198"/>
      <c r="X20" s="198"/>
      <c r="Y20" s="198"/>
      <c r="Z20" s="198"/>
    </row>
    <row r="21" spans="1:26" s="6" customFormat="1" ht="27" customHeight="1">
      <c r="A21" s="13" t="e">
        <f>#REF!</f>
        <v>#REF!</v>
      </c>
      <c r="B21" s="12" t="e">
        <f>#REF!</f>
        <v>#REF!</v>
      </c>
      <c r="C21" s="12">
        <f t="shared" si="0"/>
        <v>0</v>
      </c>
      <c r="D21" s="14">
        <f t="shared" si="1"/>
        <v>0</v>
      </c>
      <c r="E21" s="190"/>
      <c r="F21" s="195"/>
      <c r="G21" s="191" t="s">
        <v>289</v>
      </c>
      <c r="H21" s="191"/>
      <c r="I21" s="195"/>
      <c r="J21" s="195" t="s">
        <v>282</v>
      </c>
      <c r="K21" s="191"/>
      <c r="L21" s="190"/>
      <c r="M21" s="194"/>
      <c r="N21" s="194"/>
      <c r="O21" s="194"/>
      <c r="P21" s="198"/>
      <c r="Q21" s="198"/>
      <c r="R21" s="198"/>
      <c r="S21" s="198"/>
      <c r="T21" s="198"/>
      <c r="U21" s="198"/>
      <c r="V21" s="198"/>
      <c r="W21" s="198"/>
      <c r="X21" s="198"/>
      <c r="Y21" s="198"/>
      <c r="Z21" s="198"/>
    </row>
    <row r="22" spans="1:26" s="6" customFormat="1" ht="27" customHeight="1">
      <c r="A22" s="13" t="e">
        <f>#REF!</f>
        <v>#REF!</v>
      </c>
      <c r="B22" s="12" t="e">
        <f>#REF!</f>
        <v>#REF!</v>
      </c>
      <c r="C22" s="12">
        <f t="shared" si="0"/>
        <v>0</v>
      </c>
      <c r="D22" s="14">
        <f t="shared" si="1"/>
        <v>0</v>
      </c>
      <c r="E22" s="190"/>
      <c r="F22" s="195"/>
      <c r="G22" s="191" t="s">
        <v>290</v>
      </c>
      <c r="H22" s="191"/>
      <c r="I22" s="195"/>
      <c r="J22" s="195" t="s">
        <v>291</v>
      </c>
      <c r="K22" s="191"/>
      <c r="L22" s="190"/>
      <c r="M22" s="194"/>
      <c r="N22" s="194"/>
      <c r="O22" s="194"/>
      <c r="P22" s="198"/>
      <c r="Q22" s="198"/>
      <c r="R22" s="198"/>
      <c r="S22" s="198"/>
      <c r="T22" s="198"/>
      <c r="U22" s="198"/>
      <c r="V22" s="198"/>
      <c r="W22" s="198"/>
      <c r="X22" s="198"/>
      <c r="Y22" s="198"/>
      <c r="Z22" s="198"/>
    </row>
    <row r="23" spans="1:26" s="6" customFormat="1" ht="27" customHeight="1">
      <c r="A23" s="13" t="e">
        <f>#REF!</f>
        <v>#REF!</v>
      </c>
      <c r="B23" s="12" t="e">
        <f>#REF!</f>
        <v>#REF!</v>
      </c>
      <c r="C23" s="12">
        <f t="shared" si="0"/>
        <v>0</v>
      </c>
      <c r="D23" s="14">
        <f t="shared" si="1"/>
        <v>0</v>
      </c>
      <c r="E23" s="190"/>
      <c r="F23" s="195"/>
      <c r="G23" s="191" t="s">
        <v>292</v>
      </c>
      <c r="H23" s="191"/>
      <c r="I23" s="195"/>
      <c r="J23" s="195" t="s">
        <v>282</v>
      </c>
      <c r="K23" s="191"/>
      <c r="L23" s="190"/>
      <c r="M23" s="194"/>
      <c r="N23" s="194"/>
      <c r="O23" s="194"/>
      <c r="P23" s="198"/>
      <c r="Q23" s="198"/>
      <c r="R23" s="198"/>
      <c r="S23" s="198"/>
      <c r="T23" s="198"/>
      <c r="U23" s="198"/>
      <c r="V23" s="198"/>
      <c r="W23" s="198"/>
      <c r="X23" s="198"/>
      <c r="Y23" s="198"/>
      <c r="Z23" s="198"/>
    </row>
    <row r="24" spans="1:26" s="6" customFormat="1" ht="27" customHeight="1">
      <c r="A24" s="13" t="e">
        <f>#REF!</f>
        <v>#REF!</v>
      </c>
      <c r="B24" s="12" t="e">
        <f>#REF!</f>
        <v>#REF!</v>
      </c>
      <c r="C24" s="12">
        <f t="shared" si="0"/>
        <v>0</v>
      </c>
      <c r="D24" s="14">
        <f t="shared" si="1"/>
        <v>0</v>
      </c>
      <c r="E24" s="190"/>
      <c r="F24" s="195"/>
      <c r="G24" s="191" t="s">
        <v>483</v>
      </c>
      <c r="H24" s="191"/>
      <c r="I24" s="195"/>
      <c r="J24" s="191" t="s">
        <v>294</v>
      </c>
      <c r="K24" s="191"/>
      <c r="L24" s="190"/>
      <c r="M24" s="194"/>
      <c r="N24" s="194"/>
      <c r="O24" s="194"/>
      <c r="P24" s="198"/>
      <c r="Q24" s="198"/>
      <c r="R24" s="198"/>
      <c r="S24" s="198"/>
      <c r="T24" s="198"/>
      <c r="U24" s="198"/>
      <c r="V24" s="198"/>
      <c r="W24" s="198"/>
      <c r="X24" s="198"/>
      <c r="Y24" s="198"/>
      <c r="Z24" s="198"/>
    </row>
    <row r="25" spans="1:26" s="6" customFormat="1" ht="27" customHeight="1">
      <c r="A25" s="13" t="e">
        <f>#REF!</f>
        <v>#REF!</v>
      </c>
      <c r="B25" s="12" t="e">
        <f>#REF!</f>
        <v>#REF!</v>
      </c>
      <c r="C25" s="12">
        <f t="shared" si="0"/>
        <v>0</v>
      </c>
      <c r="D25" s="14">
        <f t="shared" si="1"/>
        <v>0</v>
      </c>
      <c r="E25" s="190"/>
      <c r="F25" s="195"/>
      <c r="G25" s="191" t="s">
        <v>484</v>
      </c>
      <c r="H25" s="191"/>
      <c r="I25" s="195"/>
      <c r="J25" s="195" t="s">
        <v>296</v>
      </c>
      <c r="K25" s="191"/>
      <c r="L25" s="190"/>
      <c r="M25" s="194"/>
      <c r="N25" s="194"/>
      <c r="O25" s="194"/>
      <c r="P25" s="198"/>
      <c r="Q25" s="198"/>
      <c r="R25" s="198"/>
      <c r="S25" s="198"/>
      <c r="T25" s="198"/>
      <c r="U25" s="198"/>
      <c r="V25" s="198"/>
      <c r="W25" s="198"/>
      <c r="X25" s="198"/>
      <c r="Y25" s="198"/>
      <c r="Z25" s="198"/>
    </row>
    <row r="26" spans="1:26" s="6" customFormat="1" ht="34.200000000000003">
      <c r="A26" s="13" t="e">
        <f>#REF!</f>
        <v>#REF!</v>
      </c>
      <c r="B26" s="12" t="e">
        <f>#REF!</f>
        <v>#REF!</v>
      </c>
      <c r="C26" s="12">
        <f t="shared" si="0"/>
        <v>0</v>
      </c>
      <c r="D26" s="14">
        <f t="shared" si="1"/>
        <v>0</v>
      </c>
      <c r="E26" s="190">
        <v>3</v>
      </c>
      <c r="F26" s="191" t="s">
        <v>297</v>
      </c>
      <c r="G26" s="191" t="s">
        <v>485</v>
      </c>
      <c r="H26" s="191"/>
      <c r="I26" s="195"/>
      <c r="J26" s="195" t="s">
        <v>299</v>
      </c>
      <c r="K26" s="191"/>
      <c r="L26" s="190"/>
      <c r="M26" s="194"/>
      <c r="N26" s="194"/>
      <c r="O26" s="194"/>
      <c r="P26" s="198"/>
      <c r="Q26" s="198"/>
      <c r="R26" s="198"/>
      <c r="S26" s="198"/>
      <c r="T26" s="198"/>
      <c r="U26" s="198"/>
      <c r="V26" s="198"/>
      <c r="W26" s="198"/>
      <c r="X26" s="198"/>
      <c r="Y26" s="198"/>
      <c r="Z26" s="198"/>
    </row>
    <row r="27" spans="1:26" s="6" customFormat="1" ht="45.6">
      <c r="A27" s="13" t="e">
        <f>#REF!</f>
        <v>#REF!</v>
      </c>
      <c r="B27" s="12" t="e">
        <f>#REF!</f>
        <v>#REF!</v>
      </c>
      <c r="C27" s="12">
        <f t="shared" si="0"/>
        <v>0</v>
      </c>
      <c r="D27" s="14">
        <f t="shared" si="1"/>
        <v>0</v>
      </c>
      <c r="E27" s="196"/>
      <c r="F27" s="191"/>
      <c r="G27" s="191" t="s">
        <v>486</v>
      </c>
      <c r="H27" s="191"/>
      <c r="I27" s="195"/>
      <c r="J27" s="195" t="s">
        <v>301</v>
      </c>
      <c r="K27" s="191"/>
      <c r="L27" s="190"/>
      <c r="M27" s="194"/>
      <c r="N27" s="194"/>
      <c r="O27" s="194"/>
      <c r="P27" s="198"/>
      <c r="Q27" s="198"/>
      <c r="R27" s="198"/>
      <c r="S27" s="198"/>
      <c r="T27" s="198"/>
      <c r="U27" s="198"/>
      <c r="V27" s="198"/>
      <c r="W27" s="198"/>
      <c r="X27" s="198"/>
      <c r="Y27" s="198"/>
      <c r="Z27" s="198"/>
    </row>
    <row r="28" spans="1:26" s="6" customFormat="1" ht="45.6">
      <c r="A28" s="13" t="e">
        <f>#REF!</f>
        <v>#REF!</v>
      </c>
      <c r="B28" s="12" t="e">
        <f>#REF!</f>
        <v>#REF!</v>
      </c>
      <c r="C28" s="12">
        <f t="shared" si="0"/>
        <v>0</v>
      </c>
      <c r="D28" s="14">
        <f t="shared" si="1"/>
        <v>0</v>
      </c>
      <c r="E28" s="196"/>
      <c r="F28" s="191"/>
      <c r="G28" s="191" t="s">
        <v>487</v>
      </c>
      <c r="H28" s="191"/>
      <c r="I28" s="191" t="s">
        <v>488</v>
      </c>
      <c r="J28" s="195" t="s">
        <v>304</v>
      </c>
      <c r="K28" s="191"/>
      <c r="L28" s="190"/>
      <c r="M28" s="194"/>
      <c r="N28" s="194"/>
      <c r="O28" s="194"/>
      <c r="P28" s="198"/>
      <c r="Q28" s="198"/>
      <c r="R28" s="198"/>
      <c r="S28" s="198"/>
      <c r="T28" s="198"/>
      <c r="U28" s="198"/>
      <c r="V28" s="198"/>
      <c r="W28" s="198"/>
      <c r="X28" s="198"/>
      <c r="Y28" s="198"/>
      <c r="Z28" s="198"/>
    </row>
    <row r="29" spans="1:26" s="6" customFormat="1" ht="45.6">
      <c r="A29" s="13" t="e">
        <f>#REF!</f>
        <v>#REF!</v>
      </c>
      <c r="B29" s="12" t="e">
        <f>#REF!</f>
        <v>#REF!</v>
      </c>
      <c r="C29" s="12">
        <f t="shared" si="0"/>
        <v>0</v>
      </c>
      <c r="D29" s="14">
        <f t="shared" si="1"/>
        <v>0</v>
      </c>
      <c r="E29" s="196"/>
      <c r="F29" s="191"/>
      <c r="G29" s="191" t="s">
        <v>489</v>
      </c>
      <c r="H29" s="191"/>
      <c r="I29" s="195"/>
      <c r="J29" s="195" t="s">
        <v>304</v>
      </c>
      <c r="K29" s="191"/>
      <c r="L29" s="190"/>
      <c r="M29" s="194"/>
      <c r="N29" s="194"/>
      <c r="O29" s="194"/>
      <c r="P29" s="198"/>
      <c r="Q29" s="198"/>
      <c r="R29" s="198"/>
      <c r="S29" s="198"/>
      <c r="T29" s="198"/>
      <c r="U29" s="198"/>
      <c r="V29" s="198"/>
      <c r="W29" s="198"/>
      <c r="X29" s="198"/>
      <c r="Y29" s="198"/>
      <c r="Z29" s="198"/>
    </row>
    <row r="30" spans="1:26" s="6" customFormat="1" ht="45.6">
      <c r="A30" s="13" t="e">
        <f>#REF!</f>
        <v>#REF!</v>
      </c>
      <c r="B30" s="12" t="e">
        <f>#REF!</f>
        <v>#REF!</v>
      </c>
      <c r="C30" s="12">
        <f t="shared" si="0"/>
        <v>0</v>
      </c>
      <c r="D30" s="14">
        <f t="shared" si="1"/>
        <v>0</v>
      </c>
      <c r="E30" s="196"/>
      <c r="F30" s="191"/>
      <c r="G30" s="191" t="s">
        <v>490</v>
      </c>
      <c r="H30" s="191"/>
      <c r="I30" s="191">
        <v>601</v>
      </c>
      <c r="J30" s="195" t="s">
        <v>304</v>
      </c>
      <c r="K30" s="191"/>
      <c r="L30" s="190"/>
      <c r="M30" s="194"/>
      <c r="N30" s="194"/>
      <c r="O30" s="194"/>
      <c r="P30" s="198"/>
      <c r="Q30" s="198"/>
      <c r="R30" s="198"/>
      <c r="S30" s="198"/>
      <c r="T30" s="198"/>
      <c r="U30" s="198"/>
      <c r="V30" s="198"/>
      <c r="W30" s="198"/>
      <c r="X30" s="198"/>
      <c r="Y30" s="198"/>
      <c r="Z30" s="198"/>
    </row>
    <row r="31" spans="1:26" s="6" customFormat="1" ht="45.6">
      <c r="A31" s="13" t="e">
        <f>#REF!</f>
        <v>#REF!</v>
      </c>
      <c r="B31" s="12" t="e">
        <f>#REF!</f>
        <v>#REF!</v>
      </c>
      <c r="C31" s="12">
        <f t="shared" si="0"/>
        <v>0</v>
      </c>
      <c r="D31" s="14">
        <f t="shared" si="1"/>
        <v>0</v>
      </c>
      <c r="E31" s="196"/>
      <c r="F31" s="191"/>
      <c r="G31" s="191" t="s">
        <v>491</v>
      </c>
      <c r="H31" s="191"/>
      <c r="I31" s="191" t="s">
        <v>308</v>
      </c>
      <c r="J31" s="195" t="s">
        <v>304</v>
      </c>
      <c r="K31" s="191"/>
      <c r="L31" s="190"/>
      <c r="M31" s="194"/>
      <c r="N31" s="194"/>
      <c r="O31" s="194"/>
      <c r="P31" s="198"/>
      <c r="Q31" s="198"/>
      <c r="R31" s="198"/>
      <c r="S31" s="198"/>
      <c r="T31" s="198"/>
      <c r="U31" s="198"/>
      <c r="V31" s="198"/>
      <c r="W31" s="198"/>
      <c r="X31" s="198"/>
      <c r="Y31" s="198"/>
      <c r="Z31" s="198"/>
    </row>
    <row r="32" spans="1:26" s="6" customFormat="1" ht="27" customHeight="1">
      <c r="A32" s="13" t="e">
        <f>#REF!</f>
        <v>#REF!</v>
      </c>
      <c r="B32" s="12" t="e">
        <f>#REF!</f>
        <v>#REF!</v>
      </c>
      <c r="C32" s="12">
        <f t="shared" si="0"/>
        <v>0</v>
      </c>
      <c r="D32" s="14">
        <f t="shared" si="1"/>
        <v>0</v>
      </c>
      <c r="E32" s="196"/>
      <c r="F32" s="191"/>
      <c r="G32" s="191" t="s">
        <v>492</v>
      </c>
      <c r="H32" s="191"/>
      <c r="I32" s="195"/>
      <c r="J32" s="195" t="s">
        <v>304</v>
      </c>
      <c r="K32" s="191"/>
      <c r="L32" s="190"/>
      <c r="M32" s="194"/>
      <c r="N32" s="194"/>
      <c r="O32" s="194"/>
      <c r="P32" s="198"/>
      <c r="Q32" s="198"/>
      <c r="R32" s="198"/>
      <c r="S32" s="198"/>
      <c r="T32" s="198"/>
      <c r="U32" s="198"/>
      <c r="V32" s="198"/>
      <c r="W32" s="198"/>
      <c r="X32" s="198"/>
      <c r="Y32" s="198"/>
      <c r="Z32" s="198"/>
    </row>
    <row r="33" spans="1:26" s="6" customFormat="1" ht="45.6">
      <c r="A33" s="13" t="e">
        <f>#REF!</f>
        <v>#REF!</v>
      </c>
      <c r="B33" s="12" t="e">
        <f>#REF!</f>
        <v>#REF!</v>
      </c>
      <c r="C33" s="12">
        <f t="shared" si="0"/>
        <v>0</v>
      </c>
      <c r="D33" s="14">
        <f t="shared" si="1"/>
        <v>0</v>
      </c>
      <c r="E33" s="196"/>
      <c r="F33" s="191"/>
      <c r="G33" s="191" t="s">
        <v>493</v>
      </c>
      <c r="H33" s="191"/>
      <c r="I33" s="191" t="s">
        <v>488</v>
      </c>
      <c r="J33" s="195" t="s">
        <v>304</v>
      </c>
      <c r="K33" s="191"/>
      <c r="L33" s="190"/>
      <c r="M33" s="194"/>
      <c r="N33" s="194"/>
      <c r="O33" s="194"/>
      <c r="P33" s="198"/>
      <c r="Q33" s="198"/>
      <c r="R33" s="198"/>
      <c r="S33" s="198"/>
      <c r="T33" s="198"/>
      <c r="U33" s="198"/>
      <c r="V33" s="198"/>
      <c r="W33" s="198"/>
      <c r="X33" s="198"/>
      <c r="Y33" s="198"/>
      <c r="Z33" s="198"/>
    </row>
    <row r="34" spans="1:26" s="6" customFormat="1" ht="27" customHeight="1">
      <c r="A34" s="13" t="e">
        <f>#REF!</f>
        <v>#REF!</v>
      </c>
      <c r="B34" s="12" t="e">
        <f>#REF!</f>
        <v>#REF!</v>
      </c>
      <c r="C34" s="12">
        <f t="shared" si="0"/>
        <v>0</v>
      </c>
      <c r="D34" s="14">
        <f t="shared" si="1"/>
        <v>0</v>
      </c>
      <c r="E34" s="196"/>
      <c r="F34" s="191"/>
      <c r="G34" s="191" t="s">
        <v>494</v>
      </c>
      <c r="H34" s="191"/>
      <c r="I34" s="191" t="s">
        <v>313</v>
      </c>
      <c r="J34" s="195" t="s">
        <v>314</v>
      </c>
      <c r="K34" s="191"/>
      <c r="L34" s="190"/>
      <c r="M34" s="194"/>
      <c r="N34" s="194"/>
      <c r="O34" s="194"/>
      <c r="P34" s="198"/>
      <c r="Q34" s="198"/>
      <c r="R34" s="198"/>
      <c r="S34" s="198"/>
      <c r="T34" s="198"/>
      <c r="U34" s="198"/>
      <c r="V34" s="198"/>
      <c r="W34" s="198"/>
      <c r="X34" s="198"/>
      <c r="Y34" s="198"/>
      <c r="Z34" s="198"/>
    </row>
    <row r="35" spans="1:26" s="6" customFormat="1" ht="57">
      <c r="A35" s="13" t="e">
        <f>#REF!</f>
        <v>#REF!</v>
      </c>
      <c r="B35" s="12" t="e">
        <f>#REF!</f>
        <v>#REF!</v>
      </c>
      <c r="C35" s="12">
        <f t="shared" si="0"/>
        <v>0</v>
      </c>
      <c r="D35" s="14">
        <f t="shared" si="1"/>
        <v>0</v>
      </c>
      <c r="E35" s="196"/>
      <c r="F35" s="191"/>
      <c r="G35" s="191" t="s">
        <v>495</v>
      </c>
      <c r="H35" s="191"/>
      <c r="I35" s="195"/>
      <c r="J35" s="195" t="s">
        <v>316</v>
      </c>
      <c r="K35" s="191"/>
      <c r="L35" s="190"/>
      <c r="M35" s="194"/>
      <c r="N35" s="194"/>
      <c r="O35" s="194"/>
      <c r="P35" s="198"/>
      <c r="Q35" s="198"/>
      <c r="R35" s="198"/>
      <c r="S35" s="198"/>
      <c r="T35" s="198"/>
      <c r="U35" s="198"/>
      <c r="V35" s="198"/>
      <c r="W35" s="198"/>
      <c r="X35" s="198"/>
      <c r="Y35" s="198"/>
      <c r="Z35" s="198"/>
    </row>
    <row r="36" spans="1:26" s="6" customFormat="1" ht="57">
      <c r="A36" s="13" t="e">
        <f>#REF!</f>
        <v>#REF!</v>
      </c>
      <c r="B36" s="12" t="e">
        <f>#REF!</f>
        <v>#REF!</v>
      </c>
      <c r="C36" s="12">
        <f t="shared" si="0"/>
        <v>0</v>
      </c>
      <c r="D36" s="14">
        <f t="shared" si="1"/>
        <v>0</v>
      </c>
      <c r="E36" s="196"/>
      <c r="F36" s="191"/>
      <c r="G36" s="191" t="s">
        <v>496</v>
      </c>
      <c r="H36" s="191"/>
      <c r="I36" s="195"/>
      <c r="J36" s="195" t="s">
        <v>318</v>
      </c>
      <c r="K36" s="191"/>
      <c r="L36" s="190"/>
      <c r="M36" s="194"/>
      <c r="N36" s="194"/>
      <c r="O36" s="194"/>
      <c r="P36" s="198"/>
      <c r="Q36" s="198"/>
      <c r="R36" s="198"/>
      <c r="S36" s="198"/>
      <c r="T36" s="198"/>
      <c r="U36" s="198"/>
      <c r="V36" s="198"/>
      <c r="W36" s="198"/>
      <c r="X36" s="198"/>
      <c r="Y36" s="198"/>
      <c r="Z36" s="198"/>
    </row>
    <row r="37" spans="1:26" s="6" customFormat="1" ht="68.400000000000006">
      <c r="A37" s="13" t="e">
        <f>#REF!</f>
        <v>#REF!</v>
      </c>
      <c r="B37" s="12" t="e">
        <f>#REF!</f>
        <v>#REF!</v>
      </c>
      <c r="C37" s="12">
        <f t="shared" si="0"/>
        <v>0</v>
      </c>
      <c r="D37" s="14">
        <f t="shared" si="1"/>
        <v>0</v>
      </c>
      <c r="E37" s="190">
        <v>4</v>
      </c>
      <c r="F37" s="191" t="s">
        <v>319</v>
      </c>
      <c r="G37" s="191" t="s">
        <v>497</v>
      </c>
      <c r="H37" s="191"/>
      <c r="I37" s="195"/>
      <c r="J37" s="191" t="s">
        <v>498</v>
      </c>
      <c r="K37" s="191"/>
      <c r="L37" s="190"/>
      <c r="M37" s="194"/>
      <c r="N37" s="194"/>
      <c r="O37" s="194"/>
      <c r="P37" s="198"/>
      <c r="Q37" s="198"/>
      <c r="R37" s="198"/>
      <c r="S37" s="198"/>
      <c r="T37" s="198"/>
      <c r="U37" s="198"/>
      <c r="V37" s="198"/>
      <c r="W37" s="198"/>
      <c r="X37" s="198"/>
      <c r="Y37" s="198"/>
      <c r="Z37" s="198"/>
    </row>
    <row r="38" spans="1:26" s="6" customFormat="1" ht="27" customHeight="1">
      <c r="A38" s="13" t="e">
        <f>#REF!</f>
        <v>#REF!</v>
      </c>
      <c r="B38" s="12" t="e">
        <f>#REF!</f>
        <v>#REF!</v>
      </c>
      <c r="C38" s="12">
        <f t="shared" si="0"/>
        <v>0</v>
      </c>
      <c r="D38" s="14">
        <f t="shared" si="1"/>
        <v>0</v>
      </c>
      <c r="E38" s="196"/>
      <c r="F38" s="191"/>
      <c r="G38" s="191" t="s">
        <v>286</v>
      </c>
      <c r="H38" s="191"/>
      <c r="I38" s="195"/>
      <c r="J38" s="195" t="s">
        <v>282</v>
      </c>
      <c r="K38" s="191"/>
      <c r="L38" s="190"/>
      <c r="M38" s="194"/>
      <c r="N38" s="194"/>
      <c r="O38" s="194"/>
      <c r="P38" s="198"/>
      <c r="Q38" s="198"/>
      <c r="R38" s="198"/>
      <c r="S38" s="198"/>
      <c r="T38" s="198"/>
      <c r="U38" s="198"/>
      <c r="V38" s="198"/>
      <c r="W38" s="198"/>
      <c r="X38" s="198"/>
      <c r="Y38" s="198"/>
      <c r="Z38" s="198"/>
    </row>
    <row r="39" spans="1:26" s="6" customFormat="1" ht="27" customHeight="1">
      <c r="A39" s="13" t="e">
        <f>#REF!</f>
        <v>#REF!</v>
      </c>
      <c r="B39" s="12" t="e">
        <f>#REF!</f>
        <v>#REF!</v>
      </c>
      <c r="C39" s="12">
        <f t="shared" si="0"/>
        <v>0</v>
      </c>
      <c r="D39" s="14">
        <f t="shared" si="1"/>
        <v>0</v>
      </c>
      <c r="E39" s="196"/>
      <c r="F39" s="191"/>
      <c r="G39" s="191" t="s">
        <v>499</v>
      </c>
      <c r="H39" s="191"/>
      <c r="I39" s="195"/>
      <c r="J39" s="195" t="s">
        <v>288</v>
      </c>
      <c r="K39" s="191"/>
      <c r="L39" s="190"/>
      <c r="M39" s="194"/>
      <c r="N39" s="194"/>
      <c r="O39" s="194"/>
      <c r="P39" s="198"/>
      <c r="Q39" s="198"/>
      <c r="R39" s="198"/>
      <c r="S39" s="198"/>
      <c r="T39" s="198"/>
      <c r="U39" s="198"/>
      <c r="V39" s="198"/>
      <c r="W39" s="198"/>
      <c r="X39" s="198"/>
      <c r="Y39" s="198"/>
      <c r="Z39" s="198"/>
    </row>
    <row r="40" spans="1:26" s="6" customFormat="1" ht="27" customHeight="1">
      <c r="A40" s="13"/>
      <c r="B40" s="12"/>
      <c r="C40" s="12"/>
      <c r="D40" s="14"/>
      <c r="E40" s="196"/>
      <c r="F40" s="191"/>
      <c r="G40" s="191" t="s">
        <v>289</v>
      </c>
      <c r="H40" s="191"/>
      <c r="I40" s="195"/>
      <c r="J40" s="195" t="s">
        <v>282</v>
      </c>
      <c r="K40" s="191"/>
      <c r="L40" s="190"/>
      <c r="M40" s="194"/>
      <c r="N40" s="194"/>
      <c r="O40" s="194"/>
      <c r="P40" s="198"/>
      <c r="Q40" s="198"/>
      <c r="R40" s="198"/>
      <c r="S40" s="198"/>
      <c r="T40" s="198"/>
      <c r="U40" s="198"/>
      <c r="V40" s="198"/>
      <c r="W40" s="198"/>
      <c r="X40" s="198"/>
      <c r="Y40" s="198"/>
      <c r="Z40" s="198"/>
    </row>
    <row r="41" spans="1:26" s="6" customFormat="1" ht="27" customHeight="1">
      <c r="A41" s="13"/>
      <c r="B41" s="12"/>
      <c r="C41" s="12"/>
      <c r="D41" s="14"/>
      <c r="E41" s="196"/>
      <c r="F41" s="191"/>
      <c r="G41" s="191" t="s">
        <v>290</v>
      </c>
      <c r="H41" s="191"/>
      <c r="I41" s="195"/>
      <c r="J41" s="191" t="s">
        <v>291</v>
      </c>
      <c r="K41" s="191"/>
      <c r="L41" s="190"/>
      <c r="M41" s="194"/>
      <c r="N41" s="194"/>
      <c r="O41" s="194"/>
      <c r="P41" s="198"/>
      <c r="Q41" s="198"/>
      <c r="R41" s="198"/>
      <c r="S41" s="198"/>
      <c r="T41" s="198"/>
      <c r="U41" s="198"/>
      <c r="V41" s="198"/>
      <c r="W41" s="198"/>
      <c r="X41" s="198"/>
      <c r="Y41" s="198"/>
      <c r="Z41" s="198"/>
    </row>
    <row r="42" spans="1:26" s="6" customFormat="1" ht="27" customHeight="1">
      <c r="A42" s="13"/>
      <c r="B42" s="12"/>
      <c r="C42" s="12"/>
      <c r="D42" s="14"/>
      <c r="E42" s="196"/>
      <c r="F42" s="191"/>
      <c r="G42" s="191" t="s">
        <v>292</v>
      </c>
      <c r="H42" s="191"/>
      <c r="I42" s="195"/>
      <c r="J42" s="195" t="s">
        <v>282</v>
      </c>
      <c r="K42" s="191"/>
      <c r="L42" s="190"/>
      <c r="M42" s="194"/>
      <c r="N42" s="194"/>
      <c r="O42" s="194"/>
      <c r="P42" s="198"/>
      <c r="Q42" s="198"/>
      <c r="R42" s="198"/>
      <c r="S42" s="198"/>
      <c r="T42" s="198"/>
      <c r="U42" s="198"/>
      <c r="V42" s="198"/>
      <c r="W42" s="198"/>
      <c r="X42" s="198"/>
      <c r="Y42" s="198"/>
      <c r="Z42" s="198"/>
    </row>
    <row r="43" spans="1:26" s="6" customFormat="1" ht="27" customHeight="1" thickBot="1">
      <c r="A43" s="83" t="e">
        <f>#REF!</f>
        <v>#REF!</v>
      </c>
      <c r="B43" s="84" t="e">
        <f>#REF!</f>
        <v>#REF!</v>
      </c>
      <c r="C43" s="84">
        <f t="shared" si="0"/>
        <v>0</v>
      </c>
      <c r="D43" s="85">
        <f t="shared" si="1"/>
        <v>0</v>
      </c>
      <c r="E43" s="196"/>
      <c r="F43" s="191"/>
      <c r="G43" s="191" t="s">
        <v>500</v>
      </c>
      <c r="H43" s="191"/>
      <c r="I43" s="195"/>
      <c r="J43" s="191" t="s">
        <v>294</v>
      </c>
      <c r="K43" s="191"/>
      <c r="L43" s="190"/>
      <c r="M43" s="194"/>
      <c r="N43" s="194"/>
      <c r="O43" s="194"/>
      <c r="P43" s="198"/>
      <c r="Q43" s="198"/>
      <c r="R43" s="198"/>
      <c r="S43" s="198"/>
      <c r="T43" s="198"/>
      <c r="U43" s="198"/>
      <c r="V43" s="198"/>
      <c r="W43" s="198"/>
      <c r="X43" s="198"/>
      <c r="Y43" s="198"/>
      <c r="Z43" s="198"/>
    </row>
    <row r="44" spans="1:26" s="6" customFormat="1" ht="27" customHeight="1" thickBot="1">
      <c r="A44" s="86" t="e">
        <f>#REF!</f>
        <v>#REF!</v>
      </c>
      <c r="B44" s="87" t="e">
        <f>#REF!</f>
        <v>#REF!</v>
      </c>
      <c r="C44" s="87">
        <f t="shared" si="0"/>
        <v>0</v>
      </c>
      <c r="D44" s="88">
        <f t="shared" si="1"/>
        <v>0</v>
      </c>
      <c r="E44" s="196"/>
      <c r="F44" s="191"/>
      <c r="G44" s="191" t="s">
        <v>501</v>
      </c>
      <c r="H44" s="191"/>
      <c r="I44" s="195"/>
      <c r="J44" s="195" t="s">
        <v>325</v>
      </c>
      <c r="K44" s="191"/>
      <c r="L44" s="190"/>
      <c r="M44" s="194"/>
      <c r="N44" s="194"/>
      <c r="O44" s="194"/>
      <c r="P44" s="198"/>
      <c r="Q44" s="198"/>
      <c r="R44" s="198"/>
      <c r="S44" s="198"/>
      <c r="T44" s="198"/>
      <c r="U44" s="198"/>
      <c r="V44" s="198"/>
      <c r="W44" s="198"/>
      <c r="X44" s="198"/>
      <c r="Y44" s="198"/>
      <c r="Z44" s="198"/>
    </row>
    <row r="45" spans="1:26" ht="22.5" customHeight="1">
      <c r="E45" s="190">
        <v>5</v>
      </c>
      <c r="F45" s="191" t="s">
        <v>326</v>
      </c>
      <c r="G45" s="191" t="s">
        <v>502</v>
      </c>
      <c r="H45" s="191"/>
      <c r="I45" s="195"/>
      <c r="J45" s="191" t="s">
        <v>503</v>
      </c>
      <c r="K45" s="191"/>
      <c r="L45" s="190"/>
      <c r="M45" s="194"/>
      <c r="N45" s="194"/>
      <c r="O45" s="194"/>
      <c r="P45" s="198"/>
      <c r="Q45" s="198"/>
      <c r="R45" s="198"/>
      <c r="S45" s="198"/>
      <c r="T45" s="198"/>
      <c r="U45" s="198"/>
      <c r="V45" s="198"/>
      <c r="W45" s="198"/>
      <c r="X45" s="198"/>
      <c r="Y45" s="198"/>
      <c r="Z45" s="198"/>
    </row>
    <row r="46" spans="1:26">
      <c r="E46" s="196"/>
      <c r="F46" s="191"/>
      <c r="G46" s="191" t="s">
        <v>286</v>
      </c>
      <c r="H46" s="191"/>
      <c r="I46" s="195"/>
      <c r="J46" s="195" t="s">
        <v>282</v>
      </c>
      <c r="K46" s="191"/>
      <c r="L46" s="190"/>
      <c r="M46" s="194"/>
      <c r="N46" s="194"/>
      <c r="O46" s="194"/>
      <c r="P46" s="198"/>
      <c r="Q46" s="198"/>
      <c r="R46" s="198"/>
      <c r="S46" s="198"/>
      <c r="T46" s="198"/>
      <c r="U46" s="198"/>
      <c r="V46" s="198"/>
      <c r="W46" s="198"/>
      <c r="X46" s="198"/>
      <c r="Y46" s="198"/>
      <c r="Z46" s="198"/>
    </row>
    <row r="47" spans="1:26" ht="57">
      <c r="E47" s="196"/>
      <c r="F47" s="191"/>
      <c r="G47" s="191" t="s">
        <v>504</v>
      </c>
      <c r="H47" s="191"/>
      <c r="I47" s="195"/>
      <c r="J47" s="191" t="s">
        <v>505</v>
      </c>
      <c r="K47" s="191"/>
      <c r="L47" s="190"/>
      <c r="M47" s="194"/>
      <c r="N47" s="194"/>
      <c r="O47" s="194"/>
      <c r="P47" s="198"/>
      <c r="Q47" s="198"/>
      <c r="R47" s="198"/>
      <c r="S47" s="198"/>
      <c r="T47" s="198"/>
      <c r="U47" s="198"/>
      <c r="V47" s="198"/>
      <c r="W47" s="198"/>
      <c r="X47" s="198"/>
      <c r="Y47" s="198"/>
      <c r="Z47" s="198"/>
    </row>
    <row r="48" spans="1:26">
      <c r="E48" s="196"/>
      <c r="F48" s="191"/>
      <c r="G48" s="191" t="s">
        <v>286</v>
      </c>
      <c r="H48" s="191"/>
      <c r="I48" s="195"/>
      <c r="J48" s="195" t="s">
        <v>282</v>
      </c>
      <c r="K48" s="191"/>
      <c r="L48" s="190"/>
      <c r="M48" s="194"/>
      <c r="N48" s="194"/>
      <c r="O48" s="194"/>
      <c r="P48" s="198"/>
      <c r="Q48" s="198"/>
      <c r="R48" s="198"/>
      <c r="S48" s="198"/>
      <c r="T48" s="198"/>
      <c r="U48" s="198"/>
      <c r="V48" s="198"/>
      <c r="W48" s="198"/>
      <c r="X48" s="198"/>
      <c r="Y48" s="198"/>
      <c r="Z48" s="198"/>
    </row>
    <row r="49" spans="5:26" ht="68.400000000000006">
      <c r="E49" s="196"/>
      <c r="F49" s="191"/>
      <c r="G49" s="191" t="s">
        <v>506</v>
      </c>
      <c r="H49" s="191"/>
      <c r="I49" s="195"/>
      <c r="J49" s="191" t="s">
        <v>507</v>
      </c>
      <c r="K49" s="191"/>
      <c r="L49" s="190"/>
      <c r="M49" s="194"/>
      <c r="N49" s="194"/>
      <c r="O49" s="194"/>
      <c r="P49" s="198"/>
      <c r="Q49" s="198"/>
      <c r="R49" s="198"/>
      <c r="S49" s="198"/>
      <c r="T49" s="198"/>
      <c r="U49" s="198"/>
      <c r="V49" s="198"/>
      <c r="W49" s="198"/>
      <c r="X49" s="198"/>
      <c r="Y49" s="198"/>
      <c r="Z49" s="198"/>
    </row>
    <row r="50" spans="5:26">
      <c r="E50" s="196"/>
      <c r="F50" s="191"/>
      <c r="G50" s="191" t="s">
        <v>286</v>
      </c>
      <c r="H50" s="191"/>
      <c r="I50" s="195"/>
      <c r="J50" s="195" t="s">
        <v>282</v>
      </c>
      <c r="K50" s="191"/>
      <c r="L50" s="190"/>
      <c r="M50" s="194"/>
      <c r="N50" s="194"/>
      <c r="O50" s="194"/>
      <c r="P50" s="198"/>
      <c r="Q50" s="198"/>
      <c r="R50" s="198"/>
      <c r="S50" s="198"/>
      <c r="T50" s="198"/>
      <c r="U50" s="198"/>
      <c r="V50" s="198"/>
      <c r="W50" s="198"/>
      <c r="X50" s="198"/>
      <c r="Y50" s="198"/>
      <c r="Z50" s="198"/>
    </row>
    <row r="51" spans="5:26" ht="68.400000000000006">
      <c r="E51" s="196"/>
      <c r="F51" s="191"/>
      <c r="G51" s="191" t="s">
        <v>508</v>
      </c>
      <c r="H51" s="191"/>
      <c r="I51" s="195"/>
      <c r="J51" s="191" t="s">
        <v>498</v>
      </c>
      <c r="K51" s="191"/>
      <c r="L51" s="190"/>
      <c r="M51" s="194"/>
      <c r="N51" s="194"/>
      <c r="O51" s="194"/>
      <c r="P51" s="198"/>
      <c r="Q51" s="198"/>
      <c r="R51" s="198"/>
      <c r="S51" s="198"/>
      <c r="T51" s="198"/>
      <c r="U51" s="198"/>
      <c r="V51" s="198"/>
      <c r="W51" s="198"/>
      <c r="X51" s="198"/>
      <c r="Y51" s="198"/>
      <c r="Z51" s="198"/>
    </row>
    <row r="52" spans="5:26">
      <c r="E52" s="196"/>
      <c r="F52" s="191"/>
      <c r="G52" s="191" t="s">
        <v>286</v>
      </c>
      <c r="H52" s="191"/>
      <c r="I52" s="195"/>
      <c r="J52" s="195" t="s">
        <v>282</v>
      </c>
      <c r="K52" s="191"/>
      <c r="L52" s="190"/>
      <c r="M52" s="194"/>
      <c r="N52" s="194"/>
      <c r="O52" s="194"/>
      <c r="P52" s="198"/>
      <c r="Q52" s="198"/>
      <c r="R52" s="198"/>
      <c r="S52" s="198"/>
      <c r="T52" s="198"/>
      <c r="U52" s="198"/>
      <c r="V52" s="198"/>
      <c r="W52" s="198"/>
      <c r="X52" s="198"/>
      <c r="Y52" s="198"/>
      <c r="Z52" s="198"/>
    </row>
    <row r="53" spans="5:26" ht="45.6">
      <c r="E53" s="196"/>
      <c r="F53" s="191"/>
      <c r="G53" s="191" t="s">
        <v>509</v>
      </c>
      <c r="H53" s="191"/>
      <c r="I53" s="195"/>
      <c r="J53" s="191" t="s">
        <v>510</v>
      </c>
      <c r="K53" s="191"/>
      <c r="L53" s="190"/>
      <c r="M53" s="194"/>
      <c r="N53" s="194"/>
      <c r="O53" s="194"/>
      <c r="P53" s="198"/>
      <c r="Q53" s="198"/>
      <c r="R53" s="198"/>
      <c r="S53" s="198"/>
      <c r="T53" s="198"/>
      <c r="U53" s="198"/>
      <c r="V53" s="198"/>
      <c r="W53" s="198"/>
      <c r="X53" s="198"/>
      <c r="Y53" s="198"/>
      <c r="Z53" s="198"/>
    </row>
    <row r="54" spans="5:26">
      <c r="E54" s="196"/>
      <c r="F54" s="191"/>
      <c r="G54" s="191" t="s">
        <v>286</v>
      </c>
      <c r="H54" s="191"/>
      <c r="I54" s="195"/>
      <c r="J54" s="195" t="s">
        <v>282</v>
      </c>
      <c r="K54" s="191"/>
      <c r="L54" s="190"/>
      <c r="M54" s="194"/>
      <c r="N54" s="194"/>
      <c r="O54" s="194"/>
      <c r="P54" s="198"/>
      <c r="Q54" s="198"/>
      <c r="R54" s="198"/>
      <c r="S54" s="198"/>
      <c r="T54" s="198"/>
      <c r="U54" s="198"/>
      <c r="V54" s="198"/>
      <c r="W54" s="198"/>
      <c r="X54" s="198"/>
      <c r="Y54" s="198"/>
      <c r="Z54" s="198"/>
    </row>
    <row r="55" spans="5:26" ht="45.6">
      <c r="E55" s="196"/>
      <c r="F55" s="191"/>
      <c r="G55" s="191" t="s">
        <v>511</v>
      </c>
      <c r="H55" s="191"/>
      <c r="I55" s="195"/>
      <c r="J55" s="191" t="s">
        <v>512</v>
      </c>
      <c r="K55" s="191"/>
      <c r="L55" s="190"/>
      <c r="M55" s="194"/>
      <c r="N55" s="194"/>
      <c r="O55" s="194"/>
      <c r="P55" s="198"/>
      <c r="Q55" s="198"/>
      <c r="R55" s="198"/>
      <c r="S55" s="198"/>
      <c r="T55" s="198"/>
      <c r="U55" s="198"/>
      <c r="V55" s="198"/>
      <c r="W55" s="198"/>
      <c r="X55" s="198"/>
      <c r="Y55" s="198"/>
      <c r="Z55" s="198"/>
    </row>
    <row r="56" spans="5:26">
      <c r="E56" s="196"/>
      <c r="F56" s="191"/>
      <c r="G56" s="191" t="s">
        <v>286</v>
      </c>
      <c r="H56" s="191"/>
      <c r="I56" s="195"/>
      <c r="J56" s="195" t="s">
        <v>282</v>
      </c>
      <c r="K56" s="191"/>
      <c r="L56" s="190"/>
      <c r="M56" s="194"/>
      <c r="N56" s="194"/>
      <c r="O56" s="194"/>
      <c r="P56" s="198"/>
      <c r="Q56" s="198"/>
      <c r="R56" s="198"/>
      <c r="S56" s="198"/>
      <c r="T56" s="198"/>
      <c r="U56" s="198"/>
      <c r="V56" s="198"/>
      <c r="W56" s="198"/>
      <c r="X56" s="198"/>
      <c r="Y56" s="198"/>
      <c r="Z56" s="198"/>
    </row>
    <row r="57" spans="5:26" ht="57">
      <c r="E57" s="196"/>
      <c r="F57" s="191"/>
      <c r="G57" s="191" t="s">
        <v>513</v>
      </c>
      <c r="H57" s="191"/>
      <c r="I57" s="195"/>
      <c r="J57" s="191" t="s">
        <v>503</v>
      </c>
      <c r="K57" s="191"/>
      <c r="L57" s="190"/>
      <c r="M57" s="194"/>
      <c r="N57" s="194"/>
      <c r="O57" s="194"/>
      <c r="P57" s="198"/>
      <c r="Q57" s="198"/>
      <c r="R57" s="198"/>
      <c r="S57" s="198"/>
      <c r="T57" s="198"/>
      <c r="U57" s="198"/>
      <c r="V57" s="198"/>
      <c r="W57" s="198"/>
      <c r="X57" s="198"/>
      <c r="Y57" s="198"/>
      <c r="Z57" s="198"/>
    </row>
    <row r="58" spans="5:26">
      <c r="E58" s="196"/>
      <c r="F58" s="191"/>
      <c r="G58" s="191" t="s">
        <v>286</v>
      </c>
      <c r="H58" s="191"/>
      <c r="I58" s="195"/>
      <c r="J58" s="195" t="s">
        <v>282</v>
      </c>
      <c r="K58" s="191"/>
      <c r="L58" s="190"/>
      <c r="M58" s="194"/>
      <c r="N58" s="194"/>
      <c r="O58" s="194"/>
      <c r="P58" s="198"/>
      <c r="Q58" s="198"/>
      <c r="R58" s="198"/>
      <c r="S58" s="198"/>
      <c r="T58" s="198"/>
      <c r="U58" s="198"/>
      <c r="V58" s="198"/>
      <c r="W58" s="198"/>
      <c r="X58" s="198"/>
      <c r="Y58" s="198"/>
      <c r="Z58" s="198"/>
    </row>
    <row r="59" spans="5:26" ht="45.6">
      <c r="E59" s="196"/>
      <c r="F59" s="191"/>
      <c r="G59" s="191" t="s">
        <v>514</v>
      </c>
      <c r="H59" s="191"/>
      <c r="I59" s="195"/>
      <c r="J59" s="191" t="s">
        <v>515</v>
      </c>
      <c r="K59" s="191"/>
      <c r="L59" s="190"/>
      <c r="M59" s="194"/>
      <c r="N59" s="194"/>
      <c r="O59" s="194"/>
      <c r="P59" s="198"/>
      <c r="Q59" s="198"/>
      <c r="R59" s="198"/>
      <c r="S59" s="198"/>
      <c r="T59" s="198"/>
      <c r="U59" s="198"/>
      <c r="V59" s="198"/>
      <c r="W59" s="198"/>
      <c r="X59" s="198"/>
      <c r="Y59" s="198"/>
      <c r="Z59" s="198"/>
    </row>
    <row r="60" spans="5:26">
      <c r="E60" s="196"/>
      <c r="F60" s="191"/>
      <c r="G60" s="191" t="s">
        <v>286</v>
      </c>
      <c r="H60" s="191"/>
      <c r="I60" s="195"/>
      <c r="J60" s="195" t="s">
        <v>282</v>
      </c>
      <c r="K60" s="191"/>
      <c r="L60" s="190"/>
      <c r="M60" s="194"/>
      <c r="N60" s="194"/>
      <c r="O60" s="194"/>
      <c r="P60" s="198"/>
      <c r="Q60" s="198"/>
      <c r="R60" s="198"/>
      <c r="S60" s="198"/>
      <c r="T60" s="198"/>
      <c r="U60" s="198"/>
      <c r="V60" s="198"/>
      <c r="W60" s="198"/>
      <c r="X60" s="198"/>
      <c r="Y60" s="198"/>
      <c r="Z60" s="198"/>
    </row>
    <row r="61" spans="5:26" ht="57">
      <c r="E61" s="196"/>
      <c r="F61" s="191"/>
      <c r="G61" s="191" t="s">
        <v>516</v>
      </c>
      <c r="H61" s="191"/>
      <c r="I61" s="195"/>
      <c r="J61" s="191" t="s">
        <v>505</v>
      </c>
      <c r="K61" s="191"/>
      <c r="L61" s="190"/>
      <c r="M61" s="194"/>
      <c r="N61" s="194"/>
      <c r="O61" s="194"/>
      <c r="P61" s="198"/>
      <c r="Q61" s="198"/>
      <c r="R61" s="198"/>
      <c r="S61" s="198"/>
      <c r="T61" s="198"/>
      <c r="U61" s="198"/>
      <c r="V61" s="198"/>
      <c r="W61" s="198"/>
      <c r="X61" s="198"/>
      <c r="Y61" s="198"/>
      <c r="Z61" s="198"/>
    </row>
    <row r="62" spans="5:26">
      <c r="E62" s="196"/>
      <c r="F62" s="191"/>
      <c r="G62" s="191" t="s">
        <v>286</v>
      </c>
      <c r="H62" s="191"/>
      <c r="I62" s="195"/>
      <c r="J62" s="195" t="s">
        <v>282</v>
      </c>
      <c r="K62" s="191"/>
      <c r="L62" s="190"/>
      <c r="M62" s="194"/>
      <c r="N62" s="194"/>
      <c r="O62" s="194"/>
      <c r="P62" s="198"/>
      <c r="Q62" s="198"/>
      <c r="R62" s="198"/>
      <c r="S62" s="198"/>
      <c r="T62" s="198"/>
      <c r="U62" s="198"/>
      <c r="V62" s="198"/>
      <c r="W62" s="198"/>
      <c r="X62" s="198"/>
      <c r="Y62" s="198"/>
      <c r="Z62" s="198"/>
    </row>
    <row r="63" spans="5:26" ht="57">
      <c r="E63" s="196"/>
      <c r="F63" s="191"/>
      <c r="G63" s="191" t="s">
        <v>517</v>
      </c>
      <c r="H63" s="191"/>
      <c r="I63" s="195"/>
      <c r="J63" s="191" t="s">
        <v>518</v>
      </c>
      <c r="K63" s="191"/>
      <c r="L63" s="190"/>
      <c r="M63" s="194"/>
      <c r="N63" s="194"/>
      <c r="O63" s="194"/>
      <c r="P63" s="198"/>
      <c r="Q63" s="198"/>
      <c r="R63" s="198"/>
      <c r="S63" s="198"/>
      <c r="T63" s="198"/>
      <c r="U63" s="198"/>
      <c r="V63" s="198"/>
      <c r="W63" s="198"/>
      <c r="X63" s="198"/>
      <c r="Y63" s="198"/>
      <c r="Z63" s="198"/>
    </row>
    <row r="64" spans="5:26">
      <c r="E64" s="196"/>
      <c r="F64" s="191"/>
      <c r="G64" s="191" t="s">
        <v>286</v>
      </c>
      <c r="H64" s="191"/>
      <c r="I64" s="195"/>
      <c r="J64" s="195" t="s">
        <v>282</v>
      </c>
      <c r="K64" s="191"/>
      <c r="L64" s="190"/>
      <c r="M64" s="194"/>
      <c r="N64" s="194"/>
      <c r="O64" s="194"/>
      <c r="P64" s="198"/>
      <c r="Q64" s="198"/>
      <c r="R64" s="198"/>
      <c r="S64" s="198"/>
      <c r="T64" s="198"/>
      <c r="U64" s="198"/>
      <c r="V64" s="198"/>
      <c r="W64" s="198"/>
      <c r="X64" s="198"/>
      <c r="Y64" s="198"/>
      <c r="Z64" s="198"/>
    </row>
    <row r="65" spans="5:26" ht="57">
      <c r="E65" s="196"/>
      <c r="F65" s="191"/>
      <c r="G65" s="191" t="s">
        <v>519</v>
      </c>
      <c r="H65" s="191"/>
      <c r="I65" s="195"/>
      <c r="J65" s="195" t="s">
        <v>333</v>
      </c>
      <c r="K65" s="191"/>
      <c r="L65" s="190"/>
      <c r="M65" s="194"/>
      <c r="N65" s="194"/>
      <c r="O65" s="194"/>
      <c r="P65" s="198"/>
      <c r="Q65" s="198"/>
      <c r="R65" s="198"/>
      <c r="S65" s="198"/>
      <c r="T65" s="198"/>
      <c r="U65" s="198"/>
      <c r="V65" s="198"/>
      <c r="W65" s="198"/>
      <c r="X65" s="198"/>
      <c r="Y65" s="198"/>
      <c r="Z65" s="198"/>
    </row>
    <row r="66" spans="5:26">
      <c r="E66" s="196"/>
      <c r="F66" s="191"/>
      <c r="G66" s="191" t="s">
        <v>286</v>
      </c>
      <c r="H66" s="191"/>
      <c r="I66" s="195"/>
      <c r="J66" s="195" t="s">
        <v>282</v>
      </c>
      <c r="K66" s="191"/>
      <c r="L66" s="190"/>
      <c r="M66" s="194"/>
      <c r="N66" s="194"/>
      <c r="O66" s="194"/>
      <c r="P66" s="198"/>
      <c r="Q66" s="198"/>
      <c r="R66" s="198"/>
      <c r="S66" s="198"/>
      <c r="T66" s="198"/>
      <c r="U66" s="198"/>
      <c r="V66" s="198"/>
      <c r="W66" s="198"/>
      <c r="X66" s="198"/>
      <c r="Y66" s="198"/>
      <c r="Z66" s="198"/>
    </row>
    <row r="67" spans="5:26" ht="57">
      <c r="E67" s="196"/>
      <c r="F67" s="191"/>
      <c r="G67" s="191" t="s">
        <v>520</v>
      </c>
      <c r="H67" s="191"/>
      <c r="I67" s="195"/>
      <c r="J67" s="191" t="s">
        <v>510</v>
      </c>
      <c r="K67" s="191"/>
      <c r="L67" s="190"/>
      <c r="M67" s="194"/>
      <c r="N67" s="194"/>
      <c r="O67" s="194"/>
      <c r="P67" s="198"/>
      <c r="Q67" s="198"/>
      <c r="R67" s="198"/>
      <c r="S67" s="198"/>
      <c r="T67" s="198"/>
      <c r="U67" s="198"/>
      <c r="V67" s="198"/>
      <c r="W67" s="198"/>
      <c r="X67" s="198"/>
      <c r="Y67" s="198"/>
      <c r="Z67" s="198"/>
    </row>
    <row r="68" spans="5:26">
      <c r="E68" s="196"/>
      <c r="F68" s="191"/>
      <c r="G68" s="191" t="s">
        <v>286</v>
      </c>
      <c r="H68" s="191"/>
      <c r="I68" s="195"/>
      <c r="J68" s="195" t="s">
        <v>282</v>
      </c>
      <c r="K68" s="191"/>
      <c r="L68" s="190"/>
      <c r="M68" s="194"/>
      <c r="N68" s="194"/>
      <c r="O68" s="194"/>
      <c r="P68" s="198"/>
      <c r="Q68" s="198"/>
      <c r="R68" s="198"/>
      <c r="S68" s="198"/>
      <c r="T68" s="198"/>
      <c r="U68" s="198"/>
      <c r="V68" s="198"/>
      <c r="W68" s="198"/>
      <c r="X68" s="198"/>
      <c r="Y68" s="198"/>
      <c r="Z68" s="198"/>
    </row>
    <row r="69" spans="5:26" ht="57">
      <c r="E69" s="196"/>
      <c r="F69" s="191"/>
      <c r="G69" s="191" t="s">
        <v>521</v>
      </c>
      <c r="H69" s="191"/>
      <c r="I69" s="195"/>
      <c r="J69" s="191" t="s">
        <v>512</v>
      </c>
      <c r="K69" s="191"/>
      <c r="L69" s="190"/>
      <c r="M69" s="194"/>
      <c r="N69" s="194"/>
      <c r="O69" s="194"/>
      <c r="P69" s="198"/>
      <c r="Q69" s="198"/>
      <c r="R69" s="198"/>
      <c r="S69" s="198"/>
      <c r="T69" s="198"/>
      <c r="U69" s="198"/>
      <c r="V69" s="198"/>
      <c r="W69" s="198"/>
      <c r="X69" s="198"/>
      <c r="Y69" s="198"/>
      <c r="Z69" s="198"/>
    </row>
    <row r="70" spans="5:26">
      <c r="E70" s="196"/>
      <c r="F70" s="191"/>
      <c r="G70" s="191" t="s">
        <v>286</v>
      </c>
      <c r="H70" s="191"/>
      <c r="I70" s="195"/>
      <c r="J70" s="195" t="s">
        <v>282</v>
      </c>
      <c r="K70" s="191"/>
      <c r="L70" s="190"/>
      <c r="M70" s="194"/>
      <c r="N70" s="194"/>
      <c r="O70" s="194"/>
      <c r="P70" s="198"/>
      <c r="Q70" s="198"/>
      <c r="R70" s="198"/>
      <c r="S70" s="198"/>
      <c r="T70" s="198"/>
      <c r="U70" s="198"/>
      <c r="V70" s="198"/>
      <c r="W70" s="198"/>
      <c r="X70" s="198"/>
      <c r="Y70" s="198"/>
      <c r="Z70" s="198"/>
    </row>
    <row r="71" spans="5:26" ht="57">
      <c r="E71" s="196"/>
      <c r="F71" s="191"/>
      <c r="G71" s="191" t="s">
        <v>522</v>
      </c>
      <c r="H71" s="191"/>
      <c r="I71" s="195"/>
      <c r="J71" s="191" t="s">
        <v>515</v>
      </c>
      <c r="K71" s="191"/>
      <c r="L71" s="190"/>
      <c r="M71" s="194"/>
      <c r="N71" s="194"/>
      <c r="O71" s="194"/>
      <c r="P71" s="198"/>
      <c r="Q71" s="198"/>
      <c r="R71" s="198"/>
      <c r="S71" s="198"/>
      <c r="T71" s="198"/>
      <c r="U71" s="198"/>
      <c r="V71" s="198"/>
      <c r="W71" s="198"/>
      <c r="X71" s="198"/>
      <c r="Y71" s="198"/>
      <c r="Z71" s="198"/>
    </row>
    <row r="72" spans="5:26">
      <c r="E72" s="196"/>
      <c r="F72" s="191"/>
      <c r="G72" s="191" t="s">
        <v>286</v>
      </c>
      <c r="H72" s="191"/>
      <c r="I72" s="195"/>
      <c r="J72" s="195" t="s">
        <v>282</v>
      </c>
      <c r="K72" s="191"/>
      <c r="L72" s="190"/>
      <c r="M72" s="194"/>
      <c r="N72" s="194"/>
      <c r="O72" s="194"/>
      <c r="P72" s="198"/>
      <c r="Q72" s="198"/>
      <c r="R72" s="198"/>
      <c r="S72" s="198"/>
      <c r="T72" s="198"/>
      <c r="U72" s="198"/>
      <c r="V72" s="198"/>
      <c r="W72" s="198"/>
      <c r="X72" s="198"/>
      <c r="Y72" s="198"/>
      <c r="Z72" s="198"/>
    </row>
    <row r="73" spans="5:26" ht="34.200000000000003">
      <c r="E73" s="190">
        <v>6</v>
      </c>
      <c r="F73" s="191" t="s">
        <v>337</v>
      </c>
      <c r="G73" s="191" t="s">
        <v>523</v>
      </c>
      <c r="H73" s="191"/>
      <c r="I73" s="191" t="s">
        <v>313</v>
      </c>
      <c r="J73" s="195" t="s">
        <v>339</v>
      </c>
      <c r="K73" s="191"/>
      <c r="L73" s="190"/>
      <c r="M73" s="194"/>
      <c r="N73" s="194"/>
      <c r="O73" s="194"/>
      <c r="P73" s="198"/>
      <c r="Q73" s="198"/>
      <c r="R73" s="198"/>
      <c r="S73" s="198"/>
      <c r="T73" s="198"/>
      <c r="U73" s="198"/>
      <c r="V73" s="198"/>
      <c r="W73" s="198"/>
      <c r="X73" s="198"/>
      <c r="Y73" s="198"/>
      <c r="Z73" s="198"/>
    </row>
    <row r="74" spans="5:26" ht="22.8">
      <c r="E74" s="196"/>
      <c r="F74" s="191"/>
      <c r="G74" s="191" t="s">
        <v>524</v>
      </c>
      <c r="H74" s="191"/>
      <c r="I74" s="191" t="s">
        <v>341</v>
      </c>
      <c r="J74" s="195" t="s">
        <v>339</v>
      </c>
      <c r="K74" s="191"/>
      <c r="L74" s="190"/>
      <c r="M74" s="194"/>
      <c r="N74" s="194"/>
      <c r="O74" s="194"/>
      <c r="P74" s="198"/>
      <c r="Q74" s="198"/>
      <c r="R74" s="198"/>
      <c r="S74" s="198"/>
      <c r="T74" s="198"/>
      <c r="U74" s="198"/>
      <c r="V74" s="198"/>
      <c r="W74" s="198"/>
      <c r="X74" s="198"/>
      <c r="Y74" s="198"/>
      <c r="Z74" s="198"/>
    </row>
    <row r="75" spans="5:26" ht="22.8">
      <c r="E75" s="196"/>
      <c r="F75" s="191"/>
      <c r="G75" s="191" t="s">
        <v>525</v>
      </c>
      <c r="H75" s="191"/>
      <c r="I75" s="191">
        <v>1234</v>
      </c>
      <c r="J75" s="195" t="s">
        <v>339</v>
      </c>
      <c r="K75" s="191"/>
      <c r="L75" s="190"/>
      <c r="M75" s="194"/>
      <c r="N75" s="194"/>
      <c r="O75" s="194"/>
      <c r="P75" s="198"/>
      <c r="Q75" s="198"/>
      <c r="R75" s="198"/>
      <c r="S75" s="198"/>
      <c r="T75" s="198"/>
      <c r="U75" s="198"/>
      <c r="V75" s="198"/>
      <c r="W75" s="198"/>
      <c r="X75" s="198"/>
      <c r="Y75" s="198"/>
      <c r="Z75" s="198"/>
    </row>
    <row r="76" spans="5:26" ht="22.8">
      <c r="E76" s="196"/>
      <c r="F76" s="191"/>
      <c r="G76" s="191" t="s">
        <v>526</v>
      </c>
      <c r="H76" s="191"/>
      <c r="I76" s="191" t="s">
        <v>344</v>
      </c>
      <c r="J76" s="195" t="s">
        <v>339</v>
      </c>
      <c r="K76" s="191"/>
      <c r="L76" s="190"/>
      <c r="M76" s="194"/>
      <c r="N76" s="194"/>
      <c r="O76" s="194"/>
      <c r="P76" s="198"/>
      <c r="Q76" s="198"/>
      <c r="R76" s="198"/>
      <c r="S76" s="198"/>
      <c r="T76" s="198"/>
      <c r="U76" s="198"/>
      <c r="V76" s="198"/>
      <c r="W76" s="198"/>
      <c r="X76" s="198"/>
      <c r="Y76" s="198"/>
      <c r="Z76" s="198"/>
    </row>
    <row r="77" spans="5:26" ht="68.400000000000006">
      <c r="E77" s="196"/>
      <c r="F77" s="191"/>
      <c r="G77" s="191" t="s">
        <v>527</v>
      </c>
      <c r="H77" s="191"/>
      <c r="I77" s="195"/>
      <c r="J77" s="191" t="s">
        <v>346</v>
      </c>
      <c r="K77" s="191"/>
      <c r="L77" s="190"/>
      <c r="M77" s="194"/>
      <c r="N77" s="194"/>
      <c r="O77" s="194"/>
      <c r="P77" s="198"/>
      <c r="Q77" s="198"/>
      <c r="R77" s="198"/>
      <c r="S77" s="198"/>
      <c r="T77" s="198"/>
      <c r="U77" s="198"/>
      <c r="V77" s="198"/>
      <c r="W77" s="198"/>
      <c r="X77" s="198"/>
      <c r="Y77" s="198"/>
      <c r="Z77" s="198"/>
    </row>
    <row r="78" spans="5:26">
      <c r="E78" s="196"/>
      <c r="F78" s="191"/>
      <c r="G78" s="191" t="s">
        <v>286</v>
      </c>
      <c r="H78" s="191"/>
      <c r="I78" s="195"/>
      <c r="J78" s="195" t="s">
        <v>282</v>
      </c>
      <c r="K78" s="191"/>
      <c r="L78" s="190"/>
      <c r="M78" s="194"/>
      <c r="N78" s="194"/>
      <c r="O78" s="194"/>
      <c r="P78" s="198"/>
      <c r="Q78" s="198"/>
      <c r="R78" s="198"/>
      <c r="S78" s="198"/>
      <c r="T78" s="198"/>
      <c r="U78" s="198"/>
      <c r="V78" s="198"/>
      <c r="W78" s="198"/>
      <c r="X78" s="198"/>
      <c r="Y78" s="198"/>
      <c r="Z78" s="198"/>
    </row>
    <row r="79" spans="5:26" ht="22.8">
      <c r="E79" s="196"/>
      <c r="F79" s="191"/>
      <c r="G79" s="191" t="s">
        <v>528</v>
      </c>
      <c r="H79" s="191"/>
      <c r="I79" s="195"/>
      <c r="J79" s="195" t="s">
        <v>339</v>
      </c>
      <c r="K79" s="191"/>
      <c r="L79" s="190"/>
      <c r="M79" s="194"/>
      <c r="N79" s="194"/>
      <c r="O79" s="194"/>
      <c r="P79" s="198"/>
      <c r="Q79" s="198"/>
      <c r="R79" s="198"/>
      <c r="S79" s="198"/>
      <c r="T79" s="198"/>
      <c r="U79" s="198"/>
      <c r="V79" s="198"/>
      <c r="W79" s="198"/>
      <c r="X79" s="198"/>
      <c r="Y79" s="198"/>
      <c r="Z79" s="198"/>
    </row>
    <row r="80" spans="5:26" ht="45.6">
      <c r="E80" s="196"/>
      <c r="F80" s="191"/>
      <c r="G80" s="191" t="s">
        <v>529</v>
      </c>
      <c r="H80" s="191"/>
      <c r="I80" s="191"/>
      <c r="J80" s="191" t="s">
        <v>530</v>
      </c>
      <c r="K80" s="191"/>
      <c r="L80" s="190"/>
      <c r="M80" s="194"/>
      <c r="N80" s="194"/>
      <c r="O80" s="194"/>
      <c r="P80" s="198"/>
      <c r="Q80" s="198"/>
      <c r="R80" s="198"/>
      <c r="S80" s="198"/>
      <c r="T80" s="198"/>
      <c r="U80" s="198"/>
      <c r="V80" s="198"/>
      <c r="W80" s="198"/>
      <c r="X80" s="198"/>
      <c r="Y80" s="198"/>
      <c r="Z80" s="198"/>
    </row>
    <row r="81" spans="5:26" ht="34.200000000000003">
      <c r="E81" s="196"/>
      <c r="F81" s="191"/>
      <c r="G81" s="191" t="s">
        <v>531</v>
      </c>
      <c r="H81" s="191"/>
      <c r="I81" s="191"/>
      <c r="J81" s="191" t="s">
        <v>532</v>
      </c>
      <c r="K81" s="191"/>
      <c r="L81" s="190"/>
      <c r="M81" s="194"/>
      <c r="N81" s="194"/>
      <c r="O81" s="194"/>
      <c r="P81" s="198"/>
      <c r="Q81" s="198"/>
      <c r="R81" s="198"/>
      <c r="S81" s="198"/>
      <c r="T81" s="198"/>
      <c r="U81" s="198"/>
      <c r="V81" s="198"/>
      <c r="W81" s="198"/>
      <c r="X81" s="198"/>
      <c r="Y81" s="198"/>
      <c r="Z81" s="198"/>
    </row>
    <row r="82" spans="5:26" ht="45.6">
      <c r="E82" s="196"/>
      <c r="F82" s="191"/>
      <c r="G82" s="191" t="s">
        <v>533</v>
      </c>
      <c r="H82" s="191"/>
      <c r="I82" s="191" t="s">
        <v>534</v>
      </c>
      <c r="J82" s="191" t="s">
        <v>535</v>
      </c>
      <c r="K82" s="191"/>
      <c r="L82" s="190"/>
      <c r="M82" s="194"/>
      <c r="N82" s="194"/>
      <c r="O82" s="194"/>
      <c r="P82" s="198"/>
      <c r="Q82" s="198"/>
      <c r="R82" s="198"/>
      <c r="S82" s="198"/>
      <c r="T82" s="198"/>
      <c r="U82" s="198"/>
      <c r="V82" s="198"/>
      <c r="W82" s="198"/>
      <c r="X82" s="198"/>
      <c r="Y82" s="198"/>
      <c r="Z82" s="198"/>
    </row>
    <row r="83" spans="5:26" ht="45.6">
      <c r="E83" s="196"/>
      <c r="F83" s="191"/>
      <c r="G83" s="191" t="s">
        <v>536</v>
      </c>
      <c r="H83" s="191"/>
      <c r="I83" s="191"/>
      <c r="J83" s="191" t="s">
        <v>535</v>
      </c>
      <c r="K83" s="191"/>
      <c r="L83" s="190"/>
      <c r="M83" s="194"/>
      <c r="N83" s="194"/>
      <c r="O83" s="194"/>
      <c r="P83" s="198"/>
      <c r="Q83" s="198"/>
      <c r="R83" s="198"/>
      <c r="S83" s="198"/>
      <c r="T83" s="198"/>
      <c r="U83" s="198"/>
      <c r="V83" s="198"/>
      <c r="W83" s="198"/>
      <c r="X83" s="198"/>
      <c r="Y83" s="198"/>
      <c r="Z83" s="198"/>
    </row>
    <row r="84" spans="5:26" ht="45.6">
      <c r="E84" s="196"/>
      <c r="F84" s="191"/>
      <c r="G84" s="191" t="s">
        <v>537</v>
      </c>
      <c r="H84" s="191"/>
      <c r="I84" s="191"/>
      <c r="J84" s="191" t="s">
        <v>535</v>
      </c>
      <c r="K84" s="191"/>
      <c r="L84" s="190"/>
      <c r="M84" s="194"/>
      <c r="N84" s="194"/>
      <c r="O84" s="194"/>
      <c r="P84" s="198"/>
      <c r="Q84" s="198"/>
      <c r="R84" s="198"/>
      <c r="S84" s="198"/>
      <c r="T84" s="198"/>
      <c r="U84" s="198"/>
      <c r="V84" s="198"/>
      <c r="W84" s="198"/>
      <c r="X84" s="198"/>
      <c r="Y84" s="198"/>
      <c r="Z84" s="198"/>
    </row>
    <row r="85" spans="5:26" ht="45.6">
      <c r="E85" s="196"/>
      <c r="F85" s="191"/>
      <c r="G85" s="191" t="s">
        <v>538</v>
      </c>
      <c r="H85" s="191"/>
      <c r="I85" s="195"/>
      <c r="J85" s="191" t="s">
        <v>535</v>
      </c>
      <c r="K85" s="191"/>
      <c r="L85" s="190"/>
      <c r="M85" s="194"/>
      <c r="N85" s="194"/>
      <c r="O85" s="194"/>
      <c r="P85" s="198"/>
      <c r="Q85" s="198"/>
      <c r="R85" s="198"/>
      <c r="S85" s="198"/>
      <c r="T85" s="198"/>
      <c r="U85" s="198"/>
      <c r="V85" s="198"/>
      <c r="W85" s="198"/>
      <c r="X85" s="198"/>
      <c r="Y85" s="198"/>
      <c r="Z85" s="198"/>
    </row>
    <row r="86" spans="5:26" ht="45.6">
      <c r="E86" s="196"/>
      <c r="F86" s="191"/>
      <c r="G86" s="191" t="s">
        <v>539</v>
      </c>
      <c r="H86" s="191"/>
      <c r="I86" s="195"/>
      <c r="J86" s="191" t="s">
        <v>535</v>
      </c>
      <c r="K86" s="191"/>
      <c r="L86" s="190"/>
      <c r="M86" s="194"/>
      <c r="N86" s="194"/>
      <c r="O86" s="194"/>
      <c r="P86" s="198"/>
      <c r="Q86" s="198"/>
      <c r="R86" s="198"/>
      <c r="S86" s="198"/>
      <c r="T86" s="198"/>
      <c r="U86" s="198"/>
      <c r="V86" s="198"/>
      <c r="W86" s="198"/>
      <c r="X86" s="198"/>
      <c r="Y86" s="198"/>
      <c r="Z86" s="198"/>
    </row>
    <row r="87" spans="5:26" ht="45.6">
      <c r="E87" s="196"/>
      <c r="F87" s="191"/>
      <c r="G87" s="191" t="s">
        <v>540</v>
      </c>
      <c r="H87" s="191"/>
      <c r="I87" s="191" t="s">
        <v>534</v>
      </c>
      <c r="J87" s="191" t="s">
        <v>535</v>
      </c>
      <c r="K87" s="191"/>
      <c r="L87" s="190"/>
      <c r="M87" s="194"/>
      <c r="N87" s="194"/>
      <c r="O87" s="194"/>
      <c r="P87" s="198"/>
      <c r="Q87" s="198"/>
      <c r="R87" s="198"/>
      <c r="S87" s="198"/>
      <c r="T87" s="198"/>
      <c r="U87" s="198"/>
      <c r="V87" s="198"/>
      <c r="W87" s="198"/>
      <c r="X87" s="198"/>
      <c r="Y87" s="198"/>
      <c r="Z87" s="198"/>
    </row>
    <row r="88" spans="5:26" ht="45.6">
      <c r="E88" s="196"/>
      <c r="F88" s="191"/>
      <c r="G88" s="191" t="s">
        <v>541</v>
      </c>
      <c r="H88" s="191"/>
      <c r="I88" s="191" t="s">
        <v>341</v>
      </c>
      <c r="J88" s="195" t="s">
        <v>314</v>
      </c>
      <c r="K88" s="191"/>
      <c r="L88" s="190"/>
      <c r="M88" s="194"/>
      <c r="N88" s="194"/>
      <c r="O88" s="194"/>
      <c r="P88" s="198"/>
      <c r="Q88" s="198"/>
      <c r="R88" s="198"/>
      <c r="S88" s="198"/>
      <c r="T88" s="198"/>
      <c r="U88" s="198"/>
      <c r="V88" s="198"/>
      <c r="W88" s="198"/>
      <c r="X88" s="198"/>
      <c r="Y88" s="198"/>
      <c r="Z88" s="198"/>
    </row>
    <row r="89" spans="5:26" ht="22.8">
      <c r="E89" s="196"/>
      <c r="F89" s="191"/>
      <c r="G89" s="191" t="s">
        <v>542</v>
      </c>
      <c r="H89" s="191"/>
      <c r="I89" s="191"/>
      <c r="J89" s="191" t="s">
        <v>543</v>
      </c>
      <c r="K89" s="191"/>
      <c r="L89" s="190"/>
      <c r="M89" s="194"/>
      <c r="N89" s="194"/>
      <c r="O89" s="194"/>
      <c r="P89" s="198"/>
      <c r="Q89" s="198"/>
      <c r="R89" s="198"/>
      <c r="S89" s="198"/>
      <c r="T89" s="198"/>
      <c r="U89" s="198"/>
      <c r="V89" s="198"/>
      <c r="W89" s="198"/>
      <c r="X89" s="198"/>
      <c r="Y89" s="198"/>
      <c r="Z89" s="198"/>
    </row>
    <row r="90" spans="5:26" ht="45.6">
      <c r="E90" s="196"/>
      <c r="F90" s="191"/>
      <c r="G90" s="191" t="s">
        <v>544</v>
      </c>
      <c r="H90" s="191"/>
      <c r="I90" s="191" t="s">
        <v>313</v>
      </c>
      <c r="J90" s="191" t="s">
        <v>545</v>
      </c>
      <c r="K90" s="191"/>
      <c r="L90" s="190"/>
      <c r="M90" s="194"/>
      <c r="N90" s="194"/>
      <c r="O90" s="194"/>
      <c r="P90" s="198"/>
      <c r="Q90" s="198"/>
      <c r="R90" s="198"/>
      <c r="S90" s="198"/>
      <c r="T90" s="198"/>
      <c r="U90" s="198"/>
      <c r="V90" s="198"/>
      <c r="W90" s="198"/>
      <c r="X90" s="198"/>
      <c r="Y90" s="198"/>
      <c r="Z90" s="198"/>
    </row>
    <row r="91" spans="5:26" ht="45.6">
      <c r="E91" s="196"/>
      <c r="F91" s="191"/>
      <c r="G91" s="191" t="s">
        <v>546</v>
      </c>
      <c r="H91" s="191"/>
      <c r="I91" s="191" t="s">
        <v>341</v>
      </c>
      <c r="J91" s="191" t="s">
        <v>545</v>
      </c>
      <c r="K91" s="191"/>
      <c r="L91" s="190"/>
      <c r="M91" s="194"/>
      <c r="N91" s="194"/>
      <c r="O91" s="194"/>
      <c r="P91" s="198"/>
      <c r="Q91" s="198"/>
      <c r="R91" s="198"/>
      <c r="S91" s="198"/>
      <c r="T91" s="198"/>
      <c r="U91" s="198"/>
      <c r="V91" s="198"/>
      <c r="W91" s="198"/>
      <c r="X91" s="198"/>
      <c r="Y91" s="198"/>
      <c r="Z91" s="198"/>
    </row>
    <row r="92" spans="5:26" ht="34.200000000000003">
      <c r="E92" s="196"/>
      <c r="F92" s="191"/>
      <c r="G92" s="191" t="s">
        <v>547</v>
      </c>
      <c r="H92" s="191"/>
      <c r="I92" s="192">
        <v>43327</v>
      </c>
      <c r="J92" s="191" t="s">
        <v>548</v>
      </c>
      <c r="K92" s="191"/>
      <c r="L92" s="190"/>
      <c r="M92" s="194"/>
      <c r="N92" s="194"/>
      <c r="O92" s="194"/>
      <c r="P92" s="198"/>
      <c r="Q92" s="198"/>
      <c r="R92" s="198"/>
      <c r="S92" s="198"/>
      <c r="T92" s="198"/>
      <c r="U92" s="198"/>
      <c r="V92" s="198"/>
      <c r="W92" s="198"/>
      <c r="X92" s="198"/>
      <c r="Y92" s="198"/>
      <c r="Z92" s="198"/>
    </row>
    <row r="93" spans="5:26" ht="45.6">
      <c r="E93" s="196"/>
      <c r="F93" s="191"/>
      <c r="G93" s="191" t="s">
        <v>549</v>
      </c>
      <c r="H93" s="191"/>
      <c r="I93" s="191">
        <v>2222222222</v>
      </c>
      <c r="J93" s="191" t="s">
        <v>545</v>
      </c>
      <c r="K93" s="191"/>
      <c r="L93" s="190"/>
      <c r="M93" s="194"/>
      <c r="N93" s="194"/>
      <c r="O93" s="194"/>
      <c r="P93" s="198"/>
      <c r="Q93" s="198"/>
      <c r="R93" s="198"/>
      <c r="S93" s="198"/>
      <c r="T93" s="198"/>
      <c r="U93" s="198"/>
      <c r="V93" s="198"/>
      <c r="W93" s="198"/>
      <c r="X93" s="198"/>
      <c r="Y93" s="198"/>
      <c r="Z93" s="198"/>
    </row>
    <row r="94" spans="5:26" ht="45.6">
      <c r="E94" s="196"/>
      <c r="F94" s="191"/>
      <c r="G94" s="191" t="s">
        <v>550</v>
      </c>
      <c r="H94" s="191"/>
      <c r="I94" s="191" t="s">
        <v>385</v>
      </c>
      <c r="J94" s="191" t="s">
        <v>545</v>
      </c>
      <c r="K94" s="191"/>
      <c r="L94" s="190"/>
      <c r="M94" s="194"/>
      <c r="N94" s="194"/>
      <c r="O94" s="194"/>
      <c r="P94" s="198"/>
      <c r="Q94" s="198"/>
      <c r="R94" s="198"/>
      <c r="S94" s="198"/>
      <c r="T94" s="198"/>
      <c r="U94" s="198"/>
      <c r="V94" s="198"/>
      <c r="W94" s="198"/>
      <c r="X94" s="198"/>
      <c r="Y94" s="198"/>
      <c r="Z94" s="198"/>
    </row>
    <row r="95" spans="5:26" ht="45.6">
      <c r="E95" s="196"/>
      <c r="F95" s="191"/>
      <c r="G95" s="191" t="s">
        <v>551</v>
      </c>
      <c r="H95" s="191"/>
      <c r="I95" s="195"/>
      <c r="J95" s="191" t="s">
        <v>545</v>
      </c>
      <c r="K95" s="191"/>
      <c r="L95" s="190"/>
      <c r="M95" s="194"/>
      <c r="N95" s="194"/>
      <c r="O95" s="194"/>
      <c r="P95" s="198"/>
      <c r="Q95" s="198"/>
      <c r="R95" s="198"/>
      <c r="S95" s="198"/>
      <c r="T95" s="198"/>
      <c r="U95" s="198"/>
      <c r="V95" s="198"/>
      <c r="W95" s="198"/>
      <c r="X95" s="198"/>
      <c r="Y95" s="198"/>
      <c r="Z95" s="198"/>
    </row>
    <row r="96" spans="5:26" ht="45.6">
      <c r="E96" s="196"/>
      <c r="F96" s="191"/>
      <c r="G96" s="191" t="s">
        <v>552</v>
      </c>
      <c r="H96" s="191"/>
      <c r="I96" s="195"/>
      <c r="J96" s="191" t="s">
        <v>545</v>
      </c>
      <c r="K96" s="191"/>
      <c r="L96" s="190"/>
      <c r="M96" s="194"/>
      <c r="N96" s="194"/>
      <c r="O96" s="194"/>
      <c r="P96" s="198"/>
      <c r="Q96" s="198"/>
      <c r="R96" s="198"/>
      <c r="S96" s="198"/>
      <c r="T96" s="198"/>
      <c r="U96" s="198"/>
      <c r="V96" s="198"/>
      <c r="W96" s="198"/>
      <c r="X96" s="198"/>
      <c r="Y96" s="198"/>
      <c r="Z96" s="198"/>
    </row>
    <row r="97" spans="5:26" ht="22.8">
      <c r="E97" s="196"/>
      <c r="F97" s="191"/>
      <c r="G97" s="191" t="s">
        <v>553</v>
      </c>
      <c r="H97" s="191"/>
      <c r="I97" s="195"/>
      <c r="J97" s="191" t="s">
        <v>554</v>
      </c>
      <c r="K97" s="191"/>
      <c r="L97" s="190"/>
      <c r="M97" s="194"/>
      <c r="N97" s="194"/>
      <c r="O97" s="194"/>
      <c r="P97" s="198"/>
      <c r="Q97" s="198"/>
      <c r="R97" s="198"/>
      <c r="S97" s="198"/>
      <c r="T97" s="198"/>
      <c r="U97" s="198"/>
      <c r="V97" s="198"/>
      <c r="W97" s="198"/>
      <c r="X97" s="198"/>
      <c r="Y97" s="198"/>
      <c r="Z97" s="198"/>
    </row>
    <row r="98" spans="5:26" ht="45.6">
      <c r="E98" s="196"/>
      <c r="F98" s="191"/>
      <c r="G98" s="191" t="s">
        <v>555</v>
      </c>
      <c r="H98" s="191"/>
      <c r="I98" s="191" t="s">
        <v>313</v>
      </c>
      <c r="J98" s="191" t="s">
        <v>556</v>
      </c>
      <c r="K98" s="191"/>
      <c r="L98" s="190"/>
      <c r="M98" s="194"/>
      <c r="N98" s="194"/>
      <c r="O98" s="194"/>
      <c r="P98" s="198"/>
      <c r="Q98" s="198"/>
      <c r="R98" s="198"/>
      <c r="S98" s="198"/>
      <c r="T98" s="198"/>
      <c r="U98" s="198"/>
      <c r="V98" s="198"/>
      <c r="W98" s="198"/>
      <c r="X98" s="198"/>
      <c r="Y98" s="198"/>
      <c r="Z98" s="198"/>
    </row>
    <row r="99" spans="5:26" ht="45.6">
      <c r="E99" s="196"/>
      <c r="F99" s="191"/>
      <c r="G99" s="191" t="s">
        <v>557</v>
      </c>
      <c r="H99" s="191"/>
      <c r="I99" s="191" t="s">
        <v>341</v>
      </c>
      <c r="J99" s="191" t="s">
        <v>556</v>
      </c>
      <c r="K99" s="191"/>
      <c r="L99" s="190"/>
      <c r="M99" s="194"/>
      <c r="N99" s="194"/>
      <c r="O99" s="194"/>
      <c r="P99" s="198"/>
      <c r="Q99" s="198"/>
      <c r="R99" s="198"/>
      <c r="S99" s="198"/>
      <c r="T99" s="198"/>
      <c r="U99" s="198"/>
      <c r="V99" s="198"/>
      <c r="W99" s="198"/>
      <c r="X99" s="198"/>
      <c r="Y99" s="198"/>
      <c r="Z99" s="198"/>
    </row>
    <row r="100" spans="5:26" ht="34.200000000000003">
      <c r="E100" s="196"/>
      <c r="F100" s="191"/>
      <c r="G100" s="191" t="s">
        <v>558</v>
      </c>
      <c r="H100" s="191"/>
      <c r="I100" s="192">
        <v>43328</v>
      </c>
      <c r="J100" s="191" t="s">
        <v>559</v>
      </c>
      <c r="K100" s="191"/>
      <c r="L100" s="190"/>
      <c r="M100" s="194"/>
      <c r="N100" s="194"/>
      <c r="O100" s="194"/>
      <c r="P100" s="198"/>
      <c r="Q100" s="198"/>
      <c r="R100" s="198"/>
      <c r="S100" s="198"/>
      <c r="T100" s="198"/>
      <c r="U100" s="198"/>
      <c r="V100" s="198"/>
      <c r="W100" s="198"/>
      <c r="X100" s="198"/>
      <c r="Y100" s="198"/>
      <c r="Z100" s="198"/>
    </row>
    <row r="101" spans="5:26" ht="45.6">
      <c r="E101" s="196"/>
      <c r="F101" s="191"/>
      <c r="G101" s="191" t="s">
        <v>560</v>
      </c>
      <c r="H101" s="191"/>
      <c r="I101" s="191">
        <v>2222222222</v>
      </c>
      <c r="J101" s="191" t="s">
        <v>556</v>
      </c>
      <c r="K101" s="191"/>
      <c r="L101" s="190"/>
      <c r="M101" s="194"/>
      <c r="N101" s="194"/>
      <c r="O101" s="194"/>
      <c r="P101" s="198"/>
      <c r="Q101" s="198"/>
      <c r="R101" s="198"/>
      <c r="S101" s="198"/>
      <c r="T101" s="198"/>
      <c r="U101" s="198"/>
      <c r="V101" s="198"/>
      <c r="W101" s="198"/>
      <c r="X101" s="198"/>
      <c r="Y101" s="198"/>
      <c r="Z101" s="198"/>
    </row>
    <row r="102" spans="5:26" ht="45.6">
      <c r="E102" s="196"/>
      <c r="F102" s="191"/>
      <c r="G102" s="191" t="s">
        <v>561</v>
      </c>
      <c r="H102" s="191"/>
      <c r="I102" s="191" t="s">
        <v>385</v>
      </c>
      <c r="J102" s="191" t="s">
        <v>556</v>
      </c>
      <c r="K102" s="191"/>
      <c r="L102" s="190"/>
      <c r="M102" s="194"/>
      <c r="N102" s="194"/>
      <c r="O102" s="194"/>
      <c r="P102" s="198"/>
      <c r="Q102" s="198"/>
      <c r="R102" s="198"/>
      <c r="S102" s="198"/>
      <c r="T102" s="198"/>
      <c r="U102" s="198"/>
      <c r="V102" s="198"/>
      <c r="W102" s="198"/>
      <c r="X102" s="198"/>
      <c r="Y102" s="198"/>
      <c r="Z102" s="198"/>
    </row>
    <row r="103" spans="5:26" ht="45.6">
      <c r="E103" s="196"/>
      <c r="F103" s="191"/>
      <c r="G103" s="191" t="s">
        <v>562</v>
      </c>
      <c r="H103" s="191"/>
      <c r="I103" s="195"/>
      <c r="J103" s="191" t="s">
        <v>556</v>
      </c>
      <c r="K103" s="191"/>
      <c r="L103" s="190"/>
      <c r="M103" s="194"/>
      <c r="N103" s="194"/>
      <c r="O103" s="194"/>
      <c r="P103" s="198"/>
      <c r="Q103" s="198"/>
      <c r="R103" s="198"/>
      <c r="S103" s="198"/>
      <c r="T103" s="198"/>
      <c r="U103" s="198"/>
      <c r="V103" s="198"/>
      <c r="W103" s="198"/>
      <c r="X103" s="198"/>
      <c r="Y103" s="198"/>
      <c r="Z103" s="198"/>
    </row>
    <row r="104" spans="5:26" ht="45.6">
      <c r="E104" s="196"/>
      <c r="F104" s="191"/>
      <c r="G104" s="191" t="s">
        <v>563</v>
      </c>
      <c r="H104" s="191"/>
      <c r="I104" s="195"/>
      <c r="J104" s="191" t="s">
        <v>556</v>
      </c>
      <c r="K104" s="191"/>
      <c r="L104" s="190"/>
      <c r="M104" s="194"/>
      <c r="N104" s="194"/>
      <c r="O104" s="194"/>
      <c r="P104" s="198"/>
      <c r="Q104" s="198"/>
      <c r="R104" s="198"/>
      <c r="S104" s="198"/>
      <c r="T104" s="198"/>
      <c r="U104" s="198"/>
      <c r="V104" s="198"/>
      <c r="W104" s="198"/>
      <c r="X104" s="198"/>
      <c r="Y104" s="198"/>
      <c r="Z104" s="198"/>
    </row>
    <row r="105" spans="5:26" ht="34.200000000000003">
      <c r="E105" s="196"/>
      <c r="F105" s="191"/>
      <c r="G105" s="191" t="s">
        <v>564</v>
      </c>
      <c r="H105" s="191"/>
      <c r="I105" s="195"/>
      <c r="J105" s="195" t="s">
        <v>333</v>
      </c>
      <c r="K105" s="191"/>
      <c r="L105" s="190"/>
      <c r="M105" s="194"/>
      <c r="N105" s="194"/>
      <c r="O105" s="194"/>
      <c r="P105" s="198"/>
      <c r="Q105" s="198"/>
      <c r="R105" s="198"/>
      <c r="S105" s="198"/>
      <c r="T105" s="198"/>
      <c r="U105" s="198"/>
      <c r="V105" s="198"/>
      <c r="W105" s="198"/>
      <c r="X105" s="198"/>
      <c r="Y105" s="198"/>
      <c r="Z105" s="198"/>
    </row>
    <row r="106" spans="5:26">
      <c r="E106" s="196"/>
      <c r="F106" s="191"/>
      <c r="G106" s="191" t="s">
        <v>286</v>
      </c>
      <c r="H106" s="191"/>
      <c r="I106" s="195"/>
      <c r="J106" s="195" t="s">
        <v>282</v>
      </c>
      <c r="K106" s="191"/>
      <c r="L106" s="190"/>
      <c r="M106" s="194"/>
      <c r="N106" s="194"/>
      <c r="O106" s="194"/>
      <c r="P106" s="198"/>
      <c r="Q106" s="198"/>
      <c r="R106" s="198"/>
      <c r="S106" s="198"/>
      <c r="T106" s="198"/>
      <c r="U106" s="198"/>
      <c r="V106" s="198"/>
      <c r="W106" s="198"/>
      <c r="X106" s="198"/>
      <c r="Y106" s="198"/>
      <c r="Z106" s="198"/>
    </row>
    <row r="107" spans="5:26" ht="45.6">
      <c r="E107" s="196"/>
      <c r="F107" s="191"/>
      <c r="G107" s="191" t="s">
        <v>565</v>
      </c>
      <c r="H107" s="191"/>
      <c r="I107" s="195"/>
      <c r="J107" s="195" t="s">
        <v>288</v>
      </c>
      <c r="K107" s="191"/>
      <c r="L107" s="190"/>
      <c r="M107" s="194"/>
      <c r="N107" s="194"/>
      <c r="O107" s="194"/>
      <c r="P107" s="198"/>
      <c r="Q107" s="198"/>
      <c r="R107" s="198"/>
      <c r="S107" s="198"/>
      <c r="T107" s="198"/>
      <c r="U107" s="198"/>
      <c r="V107" s="198"/>
      <c r="W107" s="198"/>
      <c r="X107" s="198"/>
      <c r="Y107" s="198"/>
      <c r="Z107" s="198"/>
    </row>
    <row r="108" spans="5:26" ht="34.200000000000003">
      <c r="E108" s="196"/>
      <c r="F108" s="191"/>
      <c r="G108" s="191" t="s">
        <v>289</v>
      </c>
      <c r="H108" s="191"/>
      <c r="I108" s="195"/>
      <c r="J108" s="195" t="s">
        <v>282</v>
      </c>
      <c r="K108" s="191"/>
      <c r="L108" s="190"/>
      <c r="M108" s="194"/>
      <c r="N108" s="194"/>
      <c r="O108" s="194"/>
      <c r="P108" s="198"/>
      <c r="Q108" s="198"/>
      <c r="R108" s="198"/>
      <c r="S108" s="198"/>
      <c r="T108" s="198"/>
      <c r="U108" s="198"/>
      <c r="V108" s="198"/>
      <c r="W108" s="198"/>
      <c r="X108" s="198"/>
      <c r="Y108" s="198"/>
      <c r="Z108" s="198"/>
    </row>
    <row r="109" spans="5:26" ht="40.799999999999997">
      <c r="E109" s="196"/>
      <c r="F109" s="191"/>
      <c r="G109" s="191" t="s">
        <v>290</v>
      </c>
      <c r="H109" s="191"/>
      <c r="I109" s="195"/>
      <c r="J109" s="195" t="s">
        <v>291</v>
      </c>
      <c r="K109" s="191"/>
      <c r="L109" s="190"/>
      <c r="M109" s="194"/>
      <c r="N109" s="194"/>
      <c r="O109" s="194"/>
      <c r="P109" s="198"/>
      <c r="Q109" s="198"/>
      <c r="R109" s="198"/>
      <c r="S109" s="198"/>
      <c r="T109" s="198"/>
      <c r="U109" s="198"/>
      <c r="V109" s="198"/>
      <c r="W109" s="198"/>
      <c r="X109" s="198"/>
      <c r="Y109" s="198"/>
      <c r="Z109" s="198"/>
    </row>
    <row r="110" spans="5:26" ht="22.8">
      <c r="E110" s="196"/>
      <c r="F110" s="191"/>
      <c r="G110" s="191" t="s">
        <v>292</v>
      </c>
      <c r="H110" s="191"/>
      <c r="I110" s="195"/>
      <c r="J110" s="195" t="s">
        <v>282</v>
      </c>
      <c r="K110" s="191"/>
      <c r="L110" s="190"/>
      <c r="M110" s="194"/>
      <c r="N110" s="194"/>
      <c r="O110" s="194"/>
      <c r="P110" s="198"/>
      <c r="Q110" s="198"/>
      <c r="R110" s="198"/>
      <c r="S110" s="198"/>
      <c r="T110" s="198"/>
      <c r="U110" s="198"/>
      <c r="V110" s="198"/>
      <c r="W110" s="198"/>
      <c r="X110" s="198"/>
      <c r="Y110" s="198"/>
      <c r="Z110" s="198"/>
    </row>
    <row r="111" spans="5:26" ht="45.6">
      <c r="E111" s="196"/>
      <c r="F111" s="191"/>
      <c r="G111" s="191" t="s">
        <v>566</v>
      </c>
      <c r="H111" s="191"/>
      <c r="I111" s="195"/>
      <c r="J111" s="191" t="s">
        <v>294</v>
      </c>
      <c r="K111" s="191"/>
      <c r="L111" s="190"/>
      <c r="M111" s="194"/>
      <c r="N111" s="194"/>
      <c r="O111" s="194"/>
      <c r="P111" s="198"/>
      <c r="Q111" s="198"/>
      <c r="R111" s="198"/>
      <c r="S111" s="198"/>
      <c r="T111" s="198"/>
      <c r="U111" s="198"/>
      <c r="V111" s="198"/>
      <c r="W111" s="198"/>
      <c r="X111" s="198"/>
      <c r="Y111" s="198"/>
      <c r="Z111" s="198"/>
    </row>
    <row r="112" spans="5:26" ht="45.6">
      <c r="E112" s="196"/>
      <c r="F112" s="191"/>
      <c r="G112" s="191" t="s">
        <v>567</v>
      </c>
      <c r="H112" s="191"/>
      <c r="I112" s="195"/>
      <c r="J112" s="195" t="s">
        <v>296</v>
      </c>
      <c r="K112" s="191"/>
      <c r="L112" s="190"/>
      <c r="M112" s="194"/>
      <c r="N112" s="194"/>
      <c r="O112" s="194"/>
      <c r="P112" s="198"/>
      <c r="Q112" s="198"/>
      <c r="R112" s="198"/>
      <c r="S112" s="198"/>
      <c r="T112" s="198"/>
      <c r="U112" s="198"/>
      <c r="V112" s="198"/>
      <c r="W112" s="198"/>
      <c r="X112" s="198"/>
      <c r="Y112" s="198"/>
      <c r="Z112" s="198"/>
    </row>
    <row r="113" spans="5:26" ht="34.200000000000003">
      <c r="E113" s="190">
        <v>7</v>
      </c>
      <c r="F113" s="191" t="s">
        <v>568</v>
      </c>
      <c r="G113" s="191" t="s">
        <v>569</v>
      </c>
      <c r="H113" s="191"/>
      <c r="I113" s="195"/>
      <c r="J113" s="191" t="s">
        <v>294</v>
      </c>
      <c r="K113" s="191"/>
      <c r="L113" s="190"/>
      <c r="M113" s="194"/>
      <c r="N113" s="194"/>
      <c r="O113" s="194"/>
      <c r="P113" s="198"/>
      <c r="Q113" s="198"/>
      <c r="R113" s="198"/>
      <c r="S113" s="198"/>
      <c r="T113" s="198"/>
      <c r="U113" s="198"/>
      <c r="V113" s="198"/>
      <c r="W113" s="198"/>
      <c r="X113" s="198"/>
      <c r="Y113" s="198"/>
      <c r="Z113" s="198"/>
    </row>
    <row r="114" spans="5:26" ht="34.200000000000003">
      <c r="E114" s="196"/>
      <c r="F114" s="191"/>
      <c r="G114" s="191" t="s">
        <v>570</v>
      </c>
      <c r="H114" s="191"/>
      <c r="I114" s="195"/>
      <c r="J114" s="195" t="s">
        <v>378</v>
      </c>
      <c r="K114" s="191"/>
      <c r="L114" s="190"/>
      <c r="M114" s="194"/>
      <c r="N114" s="194"/>
      <c r="O114" s="194"/>
      <c r="P114" s="198"/>
      <c r="Q114" s="198"/>
      <c r="R114" s="198"/>
      <c r="S114" s="198"/>
      <c r="T114" s="198"/>
      <c r="U114" s="198"/>
      <c r="V114" s="198"/>
      <c r="W114" s="198"/>
      <c r="X114" s="198"/>
      <c r="Y114" s="198"/>
      <c r="Z114" s="198"/>
    </row>
    <row r="115" spans="5:26" ht="45.6">
      <c r="E115" s="190"/>
      <c r="F115" s="191"/>
      <c r="G115" s="191" t="s">
        <v>571</v>
      </c>
      <c r="H115" s="191"/>
      <c r="I115" s="191" t="s">
        <v>572</v>
      </c>
      <c r="J115" s="191" t="s">
        <v>573</v>
      </c>
      <c r="K115" s="191"/>
      <c r="L115" s="190"/>
      <c r="M115" s="194"/>
      <c r="N115" s="194"/>
      <c r="O115" s="194"/>
      <c r="P115" s="198"/>
      <c r="Q115" s="198"/>
      <c r="R115" s="198"/>
      <c r="S115" s="198"/>
      <c r="T115" s="198"/>
      <c r="U115" s="198"/>
      <c r="V115" s="198"/>
      <c r="W115" s="198"/>
      <c r="X115" s="198"/>
      <c r="Y115" s="198"/>
      <c r="Z115" s="198"/>
    </row>
    <row r="116" spans="5:26" ht="45.6">
      <c r="E116" s="190"/>
      <c r="F116" s="191"/>
      <c r="G116" s="191" t="s">
        <v>574</v>
      </c>
      <c r="H116" s="191"/>
      <c r="I116" s="191" t="s">
        <v>575</v>
      </c>
      <c r="J116" s="195" t="s">
        <v>339</v>
      </c>
      <c r="K116" s="191"/>
      <c r="L116" s="190"/>
      <c r="M116" s="194"/>
      <c r="N116" s="194"/>
      <c r="O116" s="194"/>
      <c r="P116" s="198"/>
      <c r="Q116" s="198"/>
      <c r="R116" s="198"/>
      <c r="S116" s="198"/>
      <c r="T116" s="198"/>
      <c r="U116" s="198"/>
      <c r="V116" s="198"/>
      <c r="W116" s="198"/>
      <c r="X116" s="198"/>
      <c r="Y116" s="198"/>
      <c r="Z116" s="198"/>
    </row>
    <row r="117" spans="5:26" ht="45.6">
      <c r="E117" s="190"/>
      <c r="F117" s="191"/>
      <c r="G117" s="191" t="s">
        <v>576</v>
      </c>
      <c r="H117" s="191"/>
      <c r="I117" s="191">
        <v>1234567</v>
      </c>
      <c r="J117" s="195" t="s">
        <v>339</v>
      </c>
      <c r="K117" s="191"/>
      <c r="L117" s="190"/>
      <c r="M117" s="194"/>
      <c r="N117" s="194"/>
      <c r="O117" s="194"/>
      <c r="P117" s="198"/>
      <c r="Q117" s="198"/>
      <c r="R117" s="198"/>
      <c r="S117" s="198"/>
      <c r="T117" s="198"/>
      <c r="U117" s="198"/>
      <c r="V117" s="198"/>
      <c r="W117" s="198"/>
      <c r="X117" s="198"/>
      <c r="Y117" s="198"/>
      <c r="Z117" s="198"/>
    </row>
    <row r="118" spans="5:26" ht="45.6">
      <c r="E118" s="190"/>
      <c r="F118" s="191"/>
      <c r="G118" s="191" t="s">
        <v>577</v>
      </c>
      <c r="H118" s="191"/>
      <c r="I118" s="191" t="s">
        <v>578</v>
      </c>
      <c r="J118" s="195" t="s">
        <v>339</v>
      </c>
      <c r="K118" s="191"/>
      <c r="L118" s="190"/>
      <c r="M118" s="194"/>
      <c r="N118" s="194"/>
      <c r="O118" s="194"/>
      <c r="P118" s="198"/>
      <c r="Q118" s="198"/>
      <c r="R118" s="198"/>
      <c r="S118" s="198"/>
      <c r="T118" s="198"/>
      <c r="U118" s="198"/>
      <c r="V118" s="198"/>
      <c r="W118" s="198"/>
      <c r="X118" s="198"/>
      <c r="Y118" s="198"/>
      <c r="Z118" s="198"/>
    </row>
    <row r="119" spans="5:26" ht="68.400000000000006">
      <c r="E119" s="190"/>
      <c r="F119" s="191"/>
      <c r="G119" s="191" t="s">
        <v>579</v>
      </c>
      <c r="H119" s="191"/>
      <c r="I119" s="195"/>
      <c r="J119" s="191" t="s">
        <v>346</v>
      </c>
      <c r="K119" s="191"/>
      <c r="L119" s="190"/>
      <c r="M119" s="194"/>
      <c r="N119" s="194"/>
      <c r="O119" s="194"/>
      <c r="P119" s="198"/>
      <c r="Q119" s="198"/>
      <c r="R119" s="198"/>
      <c r="S119" s="198"/>
      <c r="T119" s="198"/>
      <c r="U119" s="198"/>
      <c r="V119" s="198"/>
      <c r="W119" s="198"/>
      <c r="X119" s="198"/>
      <c r="Y119" s="198"/>
      <c r="Z119" s="198"/>
    </row>
    <row r="120" spans="5:26">
      <c r="E120" s="190"/>
      <c r="F120" s="191"/>
      <c r="G120" s="191" t="s">
        <v>286</v>
      </c>
      <c r="H120" s="191"/>
      <c r="I120" s="195"/>
      <c r="J120" s="195" t="s">
        <v>282</v>
      </c>
      <c r="K120" s="191"/>
      <c r="L120" s="190"/>
      <c r="M120" s="194"/>
      <c r="N120" s="194"/>
      <c r="O120" s="194"/>
      <c r="P120" s="198"/>
      <c r="Q120" s="198"/>
      <c r="R120" s="198"/>
      <c r="S120" s="198"/>
      <c r="T120" s="198"/>
      <c r="U120" s="198"/>
      <c r="V120" s="198"/>
      <c r="W120" s="198"/>
      <c r="X120" s="198"/>
      <c r="Y120" s="198"/>
      <c r="Z120" s="198"/>
    </row>
    <row r="121" spans="5:26" ht="45.6">
      <c r="E121" s="190"/>
      <c r="F121" s="191"/>
      <c r="G121" s="191" t="s">
        <v>580</v>
      </c>
      <c r="H121" s="191"/>
      <c r="I121" s="195"/>
      <c r="J121" s="195" t="s">
        <v>339</v>
      </c>
      <c r="K121" s="191"/>
      <c r="L121" s="190"/>
      <c r="M121" s="194"/>
      <c r="N121" s="194"/>
      <c r="O121" s="194"/>
      <c r="P121" s="198"/>
      <c r="Q121" s="198"/>
      <c r="R121" s="198"/>
      <c r="S121" s="198"/>
      <c r="T121" s="198"/>
      <c r="U121" s="198"/>
      <c r="V121" s="198"/>
      <c r="W121" s="198"/>
      <c r="X121" s="198"/>
      <c r="Y121" s="198"/>
      <c r="Z121" s="198"/>
    </row>
    <row r="122" spans="5:26" ht="45.6">
      <c r="E122" s="190"/>
      <c r="F122" s="191"/>
      <c r="G122" s="191" t="s">
        <v>581</v>
      </c>
      <c r="H122" s="191"/>
      <c r="I122" s="195"/>
      <c r="J122" s="191" t="s">
        <v>530</v>
      </c>
      <c r="K122" s="191"/>
      <c r="L122" s="190"/>
      <c r="M122" s="194"/>
      <c r="N122" s="194"/>
      <c r="O122" s="194"/>
      <c r="P122" s="198"/>
      <c r="Q122" s="198"/>
      <c r="R122" s="198"/>
      <c r="S122" s="198"/>
      <c r="T122" s="198"/>
      <c r="U122" s="198"/>
      <c r="V122" s="198"/>
      <c r="W122" s="198"/>
      <c r="X122" s="198"/>
      <c r="Y122" s="198"/>
      <c r="Z122" s="198"/>
    </row>
    <row r="123" spans="5:26" ht="57">
      <c r="E123" s="190"/>
      <c r="F123" s="191"/>
      <c r="G123" s="191" t="s">
        <v>582</v>
      </c>
      <c r="H123" s="191"/>
      <c r="I123" s="195"/>
      <c r="J123" s="191" t="s">
        <v>532</v>
      </c>
      <c r="K123" s="191"/>
      <c r="L123" s="190"/>
      <c r="M123" s="194"/>
      <c r="N123" s="194"/>
      <c r="O123" s="194"/>
      <c r="P123" s="198"/>
      <c r="Q123" s="198"/>
      <c r="R123" s="198"/>
      <c r="S123" s="198"/>
      <c r="T123" s="198"/>
      <c r="U123" s="198"/>
      <c r="V123" s="198"/>
      <c r="W123" s="198"/>
      <c r="X123" s="198"/>
      <c r="Y123" s="198"/>
      <c r="Z123" s="198"/>
    </row>
    <row r="124" spans="5:26" ht="57">
      <c r="E124" s="190"/>
      <c r="F124" s="191"/>
      <c r="G124" s="191" t="s">
        <v>583</v>
      </c>
      <c r="H124" s="191"/>
      <c r="I124" s="191" t="s">
        <v>534</v>
      </c>
      <c r="J124" s="191" t="s">
        <v>535</v>
      </c>
      <c r="K124" s="191"/>
      <c r="L124" s="190"/>
      <c r="M124" s="194"/>
      <c r="N124" s="194"/>
      <c r="O124" s="194"/>
      <c r="P124" s="198"/>
      <c r="Q124" s="198"/>
      <c r="R124" s="198"/>
      <c r="S124" s="198"/>
      <c r="T124" s="198"/>
      <c r="U124" s="198"/>
      <c r="V124" s="198"/>
      <c r="W124" s="198"/>
      <c r="X124" s="198"/>
      <c r="Y124" s="198"/>
      <c r="Z124" s="198"/>
    </row>
    <row r="125" spans="5:26" ht="68.400000000000006">
      <c r="E125" s="190"/>
      <c r="F125" s="191"/>
      <c r="G125" s="191" t="s">
        <v>584</v>
      </c>
      <c r="H125" s="191"/>
      <c r="I125" s="191" t="s">
        <v>313</v>
      </c>
      <c r="J125" s="195" t="s">
        <v>314</v>
      </c>
      <c r="K125" s="191"/>
      <c r="L125" s="190"/>
      <c r="M125" s="194"/>
      <c r="N125" s="194"/>
      <c r="O125" s="194"/>
      <c r="P125" s="198"/>
      <c r="Q125" s="198"/>
      <c r="R125" s="198"/>
      <c r="S125" s="198"/>
      <c r="T125" s="198"/>
      <c r="U125" s="198"/>
      <c r="V125" s="198"/>
      <c r="W125" s="198"/>
      <c r="X125" s="198"/>
      <c r="Y125" s="198"/>
      <c r="Z125" s="198"/>
    </row>
    <row r="126" spans="5:26" ht="45.6">
      <c r="E126" s="190"/>
      <c r="F126" s="191"/>
      <c r="G126" s="191" t="s">
        <v>585</v>
      </c>
      <c r="H126" s="191"/>
      <c r="I126" s="195"/>
      <c r="J126" s="191" t="s">
        <v>586</v>
      </c>
      <c r="K126" s="191"/>
      <c r="L126" s="190"/>
      <c r="M126" s="194"/>
      <c r="N126" s="194"/>
      <c r="O126" s="194"/>
      <c r="P126" s="198"/>
      <c r="Q126" s="198"/>
      <c r="R126" s="198"/>
      <c r="S126" s="198"/>
      <c r="T126" s="198"/>
      <c r="U126" s="198"/>
      <c r="V126" s="198"/>
      <c r="W126" s="198"/>
      <c r="X126" s="198"/>
      <c r="Y126" s="198"/>
      <c r="Z126" s="198"/>
    </row>
    <row r="127" spans="5:26" ht="57">
      <c r="E127" s="190"/>
      <c r="F127" s="191"/>
      <c r="G127" s="191" t="s">
        <v>587</v>
      </c>
      <c r="H127" s="191"/>
      <c r="I127" s="191" t="s">
        <v>313</v>
      </c>
      <c r="J127" s="191" t="s">
        <v>545</v>
      </c>
      <c r="K127" s="191"/>
      <c r="L127" s="190"/>
      <c r="M127" s="194"/>
      <c r="N127" s="194"/>
      <c r="O127" s="194"/>
      <c r="P127" s="198"/>
      <c r="Q127" s="198"/>
      <c r="R127" s="198"/>
      <c r="S127" s="198"/>
      <c r="T127" s="198"/>
      <c r="U127" s="198"/>
      <c r="V127" s="198"/>
      <c r="W127" s="198"/>
      <c r="X127" s="198"/>
      <c r="Y127" s="198"/>
      <c r="Z127" s="198"/>
    </row>
    <row r="128" spans="5:26" ht="57">
      <c r="E128" s="190"/>
      <c r="F128" s="191"/>
      <c r="G128" s="191" t="s">
        <v>588</v>
      </c>
      <c r="H128" s="191"/>
      <c r="I128" s="191" t="s">
        <v>341</v>
      </c>
      <c r="J128" s="191" t="s">
        <v>545</v>
      </c>
      <c r="K128" s="191"/>
      <c r="L128" s="190"/>
      <c r="M128" s="194"/>
      <c r="N128" s="194"/>
      <c r="O128" s="194"/>
      <c r="P128" s="198"/>
      <c r="Q128" s="198"/>
      <c r="R128" s="198"/>
      <c r="S128" s="198"/>
      <c r="T128" s="198"/>
      <c r="U128" s="198"/>
      <c r="V128" s="198"/>
      <c r="W128" s="198"/>
      <c r="X128" s="198"/>
      <c r="Y128" s="198"/>
      <c r="Z128" s="198"/>
    </row>
    <row r="129" spans="5:26" ht="57">
      <c r="E129" s="190"/>
      <c r="F129" s="191"/>
      <c r="G129" s="191" t="s">
        <v>589</v>
      </c>
      <c r="H129" s="191"/>
      <c r="I129" s="192">
        <v>43327</v>
      </c>
      <c r="J129" s="191" t="s">
        <v>548</v>
      </c>
      <c r="K129" s="191"/>
      <c r="L129" s="190"/>
      <c r="M129" s="194"/>
      <c r="N129" s="194"/>
      <c r="O129" s="194"/>
      <c r="P129" s="198"/>
      <c r="Q129" s="198"/>
      <c r="R129" s="198"/>
      <c r="S129" s="198"/>
      <c r="T129" s="198"/>
      <c r="U129" s="198"/>
      <c r="V129" s="198"/>
      <c r="W129" s="198"/>
      <c r="X129" s="198"/>
      <c r="Y129" s="198"/>
      <c r="Z129" s="198"/>
    </row>
    <row r="130" spans="5:26" ht="57">
      <c r="E130" s="190"/>
      <c r="F130" s="191"/>
      <c r="G130" s="191" t="s">
        <v>590</v>
      </c>
      <c r="H130" s="191"/>
      <c r="I130" s="191">
        <v>2222222</v>
      </c>
      <c r="J130" s="191" t="s">
        <v>545</v>
      </c>
      <c r="K130" s="191"/>
      <c r="L130" s="190"/>
      <c r="M130" s="194"/>
      <c r="N130" s="194"/>
      <c r="O130" s="194"/>
      <c r="P130" s="198"/>
      <c r="Q130" s="198"/>
      <c r="R130" s="198"/>
      <c r="S130" s="198"/>
      <c r="T130" s="198"/>
      <c r="U130" s="198"/>
      <c r="V130" s="198"/>
      <c r="W130" s="198"/>
      <c r="X130" s="198"/>
      <c r="Y130" s="198"/>
      <c r="Z130" s="198"/>
    </row>
    <row r="131" spans="5:26" ht="57">
      <c r="E131" s="190"/>
      <c r="F131" s="191"/>
      <c r="G131" s="191" t="s">
        <v>591</v>
      </c>
      <c r="H131" s="191"/>
      <c r="I131" s="191" t="s">
        <v>592</v>
      </c>
      <c r="J131" s="191" t="s">
        <v>545</v>
      </c>
      <c r="K131" s="191"/>
      <c r="L131" s="190"/>
      <c r="M131" s="194"/>
      <c r="N131" s="194"/>
      <c r="O131" s="194"/>
      <c r="P131" s="198"/>
      <c r="Q131" s="198"/>
      <c r="R131" s="198"/>
      <c r="S131" s="198"/>
      <c r="T131" s="198"/>
      <c r="U131" s="198"/>
      <c r="V131" s="198"/>
      <c r="W131" s="198"/>
      <c r="X131" s="198"/>
      <c r="Y131" s="198"/>
      <c r="Z131" s="198"/>
    </row>
    <row r="132" spans="5:26" ht="57">
      <c r="E132" s="190"/>
      <c r="F132" s="191"/>
      <c r="G132" s="191" t="s">
        <v>593</v>
      </c>
      <c r="H132" s="191"/>
      <c r="I132" s="195"/>
      <c r="J132" s="191" t="s">
        <v>545</v>
      </c>
      <c r="K132" s="191"/>
      <c r="L132" s="190"/>
      <c r="M132" s="194"/>
      <c r="N132" s="194"/>
      <c r="O132" s="194"/>
      <c r="P132" s="198"/>
      <c r="Q132" s="198"/>
      <c r="R132" s="198"/>
      <c r="S132" s="198"/>
      <c r="T132" s="198"/>
      <c r="U132" s="198"/>
      <c r="V132" s="198"/>
      <c r="W132" s="198"/>
      <c r="X132" s="198"/>
      <c r="Y132" s="198"/>
      <c r="Z132" s="198"/>
    </row>
    <row r="133" spans="5:26" ht="57">
      <c r="E133" s="190"/>
      <c r="F133" s="191"/>
      <c r="G133" s="191" t="s">
        <v>594</v>
      </c>
      <c r="H133" s="191"/>
      <c r="I133" s="195"/>
      <c r="J133" s="191" t="s">
        <v>545</v>
      </c>
      <c r="K133" s="191"/>
      <c r="L133" s="190"/>
      <c r="M133" s="194"/>
      <c r="N133" s="194"/>
      <c r="O133" s="194"/>
      <c r="P133" s="198"/>
      <c r="Q133" s="198"/>
      <c r="R133" s="198"/>
      <c r="S133" s="198"/>
      <c r="T133" s="198"/>
      <c r="U133" s="198"/>
      <c r="V133" s="198"/>
      <c r="W133" s="198"/>
      <c r="X133" s="198"/>
      <c r="Y133" s="198"/>
      <c r="Z133" s="198"/>
    </row>
    <row r="134" spans="5:26" ht="45.6">
      <c r="E134" s="190"/>
      <c r="F134" s="191"/>
      <c r="G134" s="191" t="s">
        <v>595</v>
      </c>
      <c r="H134" s="191"/>
      <c r="I134" s="195"/>
      <c r="J134" s="191" t="s">
        <v>554</v>
      </c>
      <c r="K134" s="191"/>
      <c r="L134" s="190"/>
      <c r="M134" s="194"/>
      <c r="N134" s="194"/>
      <c r="O134" s="194"/>
      <c r="P134" s="198"/>
      <c r="Q134" s="198"/>
      <c r="R134" s="198"/>
      <c r="S134" s="198"/>
      <c r="T134" s="198"/>
      <c r="U134" s="198"/>
      <c r="V134" s="198"/>
      <c r="W134" s="198"/>
      <c r="X134" s="198"/>
      <c r="Y134" s="198"/>
      <c r="Z134" s="198"/>
    </row>
    <row r="135" spans="5:26" ht="57">
      <c r="E135" s="190"/>
      <c r="F135" s="191"/>
      <c r="G135" s="191" t="s">
        <v>596</v>
      </c>
      <c r="H135" s="191"/>
      <c r="I135" s="191" t="s">
        <v>313</v>
      </c>
      <c r="J135" s="191" t="s">
        <v>556</v>
      </c>
      <c r="K135" s="191"/>
      <c r="L135" s="190"/>
      <c r="M135" s="194"/>
      <c r="N135" s="194"/>
      <c r="O135" s="194"/>
      <c r="P135" s="198"/>
      <c r="Q135" s="198"/>
      <c r="R135" s="198"/>
      <c r="S135" s="198"/>
      <c r="T135" s="198"/>
      <c r="U135" s="198"/>
      <c r="V135" s="198"/>
      <c r="W135" s="198"/>
      <c r="X135" s="198"/>
      <c r="Y135" s="198"/>
      <c r="Z135" s="198"/>
    </row>
    <row r="136" spans="5:26" ht="57">
      <c r="E136" s="190"/>
      <c r="F136" s="191"/>
      <c r="G136" s="191" t="s">
        <v>597</v>
      </c>
      <c r="H136" s="191"/>
      <c r="I136" s="191" t="s">
        <v>341</v>
      </c>
      <c r="J136" s="191" t="s">
        <v>556</v>
      </c>
      <c r="K136" s="191"/>
      <c r="L136" s="190"/>
      <c r="M136" s="194"/>
      <c r="N136" s="194"/>
      <c r="O136" s="194"/>
      <c r="P136" s="198"/>
      <c r="Q136" s="198"/>
      <c r="R136" s="198"/>
      <c r="S136" s="198"/>
      <c r="T136" s="198"/>
      <c r="U136" s="198"/>
      <c r="V136" s="198"/>
      <c r="W136" s="198"/>
      <c r="X136" s="198"/>
      <c r="Y136" s="198"/>
      <c r="Z136" s="198"/>
    </row>
    <row r="137" spans="5:26" ht="57">
      <c r="E137" s="190"/>
      <c r="F137" s="191"/>
      <c r="G137" s="191" t="s">
        <v>598</v>
      </c>
      <c r="H137" s="191"/>
      <c r="I137" s="192">
        <v>43327</v>
      </c>
      <c r="J137" s="191" t="s">
        <v>559</v>
      </c>
      <c r="K137" s="191"/>
      <c r="L137" s="190"/>
      <c r="M137" s="194"/>
      <c r="N137" s="194"/>
      <c r="O137" s="194"/>
      <c r="P137" s="198"/>
      <c r="Q137" s="198"/>
      <c r="R137" s="198"/>
      <c r="S137" s="198"/>
      <c r="T137" s="198"/>
      <c r="U137" s="198"/>
      <c r="V137" s="198"/>
      <c r="W137" s="198"/>
      <c r="X137" s="198"/>
      <c r="Y137" s="198"/>
      <c r="Z137" s="198"/>
    </row>
    <row r="138" spans="5:26" ht="57">
      <c r="E138" s="190"/>
      <c r="F138" s="191"/>
      <c r="G138" s="191" t="s">
        <v>599</v>
      </c>
      <c r="H138" s="191"/>
      <c r="I138" s="191">
        <v>2222222</v>
      </c>
      <c r="J138" s="191" t="s">
        <v>556</v>
      </c>
      <c r="K138" s="191"/>
      <c r="L138" s="190"/>
      <c r="M138" s="194"/>
      <c r="N138" s="194"/>
      <c r="O138" s="194"/>
      <c r="P138" s="198"/>
      <c r="Q138" s="198"/>
      <c r="R138" s="198"/>
      <c r="S138" s="198"/>
      <c r="T138" s="198"/>
      <c r="U138" s="198"/>
      <c r="V138" s="198"/>
      <c r="W138" s="198"/>
      <c r="X138" s="198"/>
      <c r="Y138" s="198"/>
      <c r="Z138" s="198"/>
    </row>
    <row r="139" spans="5:26" ht="57">
      <c r="E139" s="190"/>
      <c r="F139" s="191"/>
      <c r="G139" s="191" t="s">
        <v>600</v>
      </c>
      <c r="H139" s="191"/>
      <c r="I139" s="191" t="s">
        <v>592</v>
      </c>
      <c r="J139" s="191" t="s">
        <v>556</v>
      </c>
      <c r="K139" s="191"/>
      <c r="L139" s="190"/>
      <c r="M139" s="194"/>
      <c r="N139" s="194"/>
      <c r="O139" s="194"/>
      <c r="P139" s="198"/>
      <c r="Q139" s="198"/>
      <c r="R139" s="198"/>
      <c r="S139" s="198"/>
      <c r="T139" s="198"/>
      <c r="U139" s="198"/>
      <c r="V139" s="198"/>
      <c r="W139" s="198"/>
      <c r="X139" s="198"/>
      <c r="Y139" s="198"/>
      <c r="Z139" s="198"/>
    </row>
    <row r="140" spans="5:26" ht="57">
      <c r="E140" s="190"/>
      <c r="F140" s="191"/>
      <c r="G140" s="191" t="s">
        <v>601</v>
      </c>
      <c r="H140" s="191"/>
      <c r="I140" s="195"/>
      <c r="J140" s="191" t="s">
        <v>556</v>
      </c>
      <c r="K140" s="191"/>
      <c r="L140" s="190"/>
      <c r="M140" s="194"/>
      <c r="N140" s="194"/>
      <c r="O140" s="194"/>
      <c r="P140" s="198"/>
      <c r="Q140" s="198"/>
      <c r="R140" s="198"/>
      <c r="S140" s="198"/>
      <c r="T140" s="198"/>
      <c r="U140" s="198"/>
      <c r="V140" s="198"/>
      <c r="W140" s="198"/>
      <c r="X140" s="198"/>
      <c r="Y140" s="198"/>
      <c r="Z140" s="198"/>
    </row>
    <row r="141" spans="5:26" ht="57">
      <c r="E141" s="190"/>
      <c r="F141" s="191"/>
      <c r="G141" s="191" t="s">
        <v>602</v>
      </c>
      <c r="H141" s="191"/>
      <c r="I141" s="195"/>
      <c r="J141" s="191" t="s">
        <v>556</v>
      </c>
      <c r="K141" s="191"/>
      <c r="L141" s="190"/>
      <c r="M141" s="194"/>
      <c r="N141" s="194"/>
      <c r="O141" s="194"/>
      <c r="P141" s="198"/>
      <c r="Q141" s="198"/>
      <c r="R141" s="198"/>
      <c r="S141" s="198"/>
      <c r="T141" s="198"/>
      <c r="U141" s="198"/>
      <c r="V141" s="198"/>
      <c r="W141" s="198"/>
      <c r="X141" s="198"/>
      <c r="Y141" s="198"/>
      <c r="Z141" s="198"/>
    </row>
    <row r="142" spans="5:26" ht="57">
      <c r="E142" s="190"/>
      <c r="F142" s="191"/>
      <c r="G142" s="191" t="s">
        <v>603</v>
      </c>
      <c r="H142" s="191"/>
      <c r="I142" s="195"/>
      <c r="J142" s="195" t="s">
        <v>333</v>
      </c>
      <c r="K142" s="191"/>
      <c r="L142" s="190"/>
      <c r="M142" s="194"/>
      <c r="N142" s="194"/>
      <c r="O142" s="194"/>
      <c r="P142" s="198"/>
      <c r="Q142" s="198"/>
      <c r="R142" s="198"/>
      <c r="S142" s="198"/>
      <c r="T142" s="198"/>
      <c r="U142" s="198"/>
      <c r="V142" s="198"/>
      <c r="W142" s="198"/>
      <c r="X142" s="198"/>
      <c r="Y142" s="198"/>
      <c r="Z142" s="198"/>
    </row>
    <row r="143" spans="5:26">
      <c r="E143" s="190"/>
      <c r="F143" s="191"/>
      <c r="G143" s="191" t="s">
        <v>286</v>
      </c>
      <c r="H143" s="191"/>
      <c r="I143" s="195"/>
      <c r="J143" s="195" t="s">
        <v>282</v>
      </c>
      <c r="K143" s="191"/>
      <c r="L143" s="190"/>
      <c r="M143" s="194"/>
      <c r="N143" s="194"/>
      <c r="O143" s="194"/>
      <c r="P143" s="198"/>
      <c r="Q143" s="198"/>
      <c r="R143" s="198"/>
      <c r="S143" s="198"/>
      <c r="T143" s="198"/>
      <c r="U143" s="198"/>
      <c r="V143" s="198"/>
      <c r="W143" s="198"/>
      <c r="X143" s="198"/>
      <c r="Y143" s="198"/>
      <c r="Z143" s="198"/>
    </row>
    <row r="144" spans="5:26" ht="68.400000000000006">
      <c r="E144" s="190"/>
      <c r="F144" s="191"/>
      <c r="G144" s="191" t="s">
        <v>604</v>
      </c>
      <c r="H144" s="191"/>
      <c r="I144" s="195"/>
      <c r="J144" s="195" t="s">
        <v>288</v>
      </c>
      <c r="K144" s="191"/>
      <c r="L144" s="190"/>
      <c r="M144" s="194"/>
      <c r="N144" s="194"/>
      <c r="O144" s="194"/>
      <c r="P144" s="198"/>
      <c r="Q144" s="198"/>
      <c r="R144" s="198"/>
      <c r="S144" s="198"/>
      <c r="T144" s="198"/>
      <c r="U144" s="198"/>
      <c r="V144" s="198"/>
      <c r="W144" s="198"/>
      <c r="X144" s="198"/>
      <c r="Y144" s="198"/>
      <c r="Z144" s="198"/>
    </row>
    <row r="145" spans="5:26" ht="34.200000000000003">
      <c r="E145" s="190"/>
      <c r="F145" s="191"/>
      <c r="G145" s="191" t="s">
        <v>289</v>
      </c>
      <c r="H145" s="191"/>
      <c r="I145" s="195"/>
      <c r="J145" s="195" t="s">
        <v>282</v>
      </c>
      <c r="K145" s="191"/>
      <c r="L145" s="190"/>
      <c r="M145" s="194"/>
      <c r="N145" s="194"/>
      <c r="O145" s="194"/>
      <c r="P145" s="198"/>
      <c r="Q145" s="198"/>
      <c r="R145" s="198"/>
      <c r="S145" s="198"/>
      <c r="T145" s="198"/>
      <c r="U145" s="198"/>
      <c r="V145" s="198"/>
      <c r="W145" s="198"/>
      <c r="X145" s="198"/>
      <c r="Y145" s="198"/>
      <c r="Z145" s="198"/>
    </row>
    <row r="146" spans="5:26" ht="40.799999999999997">
      <c r="E146" s="190"/>
      <c r="F146" s="191"/>
      <c r="G146" s="191" t="s">
        <v>290</v>
      </c>
      <c r="H146" s="191"/>
      <c r="I146" s="195"/>
      <c r="J146" s="195" t="s">
        <v>291</v>
      </c>
      <c r="K146" s="191"/>
      <c r="L146" s="190"/>
      <c r="M146" s="194"/>
      <c r="N146" s="194"/>
      <c r="O146" s="194"/>
      <c r="P146" s="198"/>
      <c r="Q146" s="198"/>
      <c r="R146" s="198"/>
      <c r="S146" s="198"/>
      <c r="T146" s="198"/>
      <c r="U146" s="198"/>
      <c r="V146" s="198"/>
      <c r="W146" s="198"/>
      <c r="X146" s="198"/>
      <c r="Y146" s="198"/>
      <c r="Z146" s="198"/>
    </row>
    <row r="147" spans="5:26" ht="22.8">
      <c r="E147" s="190"/>
      <c r="F147" s="191"/>
      <c r="G147" s="191" t="s">
        <v>292</v>
      </c>
      <c r="H147" s="191"/>
      <c r="I147" s="195"/>
      <c r="J147" s="195" t="s">
        <v>282</v>
      </c>
      <c r="K147" s="191"/>
      <c r="L147" s="190"/>
      <c r="M147" s="194"/>
      <c r="N147" s="194"/>
      <c r="O147" s="194"/>
      <c r="P147" s="198"/>
      <c r="Q147" s="198"/>
      <c r="R147" s="198"/>
      <c r="S147" s="198"/>
      <c r="T147" s="198"/>
      <c r="U147" s="198"/>
      <c r="V147" s="198"/>
      <c r="W147" s="198"/>
      <c r="X147" s="198"/>
      <c r="Y147" s="198"/>
      <c r="Z147" s="198"/>
    </row>
    <row r="148" spans="5:26" ht="68.400000000000006">
      <c r="E148" s="190"/>
      <c r="F148" s="191"/>
      <c r="G148" s="191" t="s">
        <v>605</v>
      </c>
      <c r="H148" s="191"/>
      <c r="I148" s="195"/>
      <c r="J148" s="191" t="s">
        <v>294</v>
      </c>
      <c r="K148" s="191"/>
      <c r="L148" s="190"/>
      <c r="M148" s="194"/>
      <c r="N148" s="194"/>
      <c r="O148" s="194"/>
      <c r="P148" s="198"/>
      <c r="Q148" s="198"/>
      <c r="R148" s="198"/>
      <c r="S148" s="198"/>
      <c r="T148" s="198"/>
      <c r="U148" s="198"/>
      <c r="V148" s="198"/>
      <c r="W148" s="198"/>
      <c r="X148" s="198"/>
      <c r="Y148" s="198"/>
      <c r="Z148" s="198"/>
    </row>
    <row r="149" spans="5:26" ht="68.400000000000006">
      <c r="E149" s="190"/>
      <c r="F149" s="191"/>
      <c r="G149" s="191" t="s">
        <v>606</v>
      </c>
      <c r="H149" s="191"/>
      <c r="I149" s="195"/>
      <c r="J149" s="195" t="s">
        <v>296</v>
      </c>
      <c r="K149" s="191"/>
      <c r="L149" s="190"/>
      <c r="M149" s="194"/>
      <c r="N149" s="194"/>
      <c r="O149" s="194"/>
      <c r="P149" s="198"/>
      <c r="Q149" s="198"/>
      <c r="R149" s="198"/>
      <c r="S149" s="198"/>
      <c r="T149" s="198"/>
      <c r="U149" s="198"/>
      <c r="V149" s="198"/>
      <c r="W149" s="198"/>
      <c r="X149" s="198"/>
      <c r="Y149" s="198"/>
      <c r="Z149" s="198"/>
    </row>
    <row r="150" spans="5:26" ht="34.200000000000003">
      <c r="E150" s="190">
        <v>8</v>
      </c>
      <c r="F150" s="191" t="s">
        <v>607</v>
      </c>
      <c r="G150" s="191" t="s">
        <v>569</v>
      </c>
      <c r="H150" s="191"/>
      <c r="I150" s="191"/>
      <c r="J150" s="191" t="s">
        <v>294</v>
      </c>
      <c r="K150" s="191"/>
      <c r="L150" s="190"/>
      <c r="M150" s="194"/>
      <c r="N150" s="194"/>
      <c r="O150" s="194"/>
      <c r="P150" s="198"/>
      <c r="Q150" s="198"/>
      <c r="R150" s="198"/>
      <c r="S150" s="198"/>
      <c r="T150" s="198"/>
      <c r="U150" s="198"/>
      <c r="V150" s="198"/>
      <c r="W150" s="198"/>
      <c r="X150" s="198"/>
      <c r="Y150" s="198"/>
      <c r="Z150" s="198"/>
    </row>
    <row r="151" spans="5:26" ht="34.200000000000003">
      <c r="E151" s="190"/>
      <c r="F151" s="191"/>
      <c r="G151" s="191" t="s">
        <v>608</v>
      </c>
      <c r="H151" s="191"/>
      <c r="I151" s="191" t="s">
        <v>313</v>
      </c>
      <c r="J151" s="195" t="s">
        <v>412</v>
      </c>
      <c r="K151" s="191"/>
      <c r="L151" s="190"/>
      <c r="M151" s="194"/>
      <c r="N151" s="194"/>
      <c r="O151" s="194"/>
      <c r="P151" s="198"/>
      <c r="Q151" s="198"/>
      <c r="R151" s="198"/>
      <c r="S151" s="198"/>
      <c r="T151" s="198"/>
      <c r="U151" s="198"/>
      <c r="V151" s="198"/>
      <c r="W151" s="198"/>
      <c r="X151" s="198"/>
      <c r="Y151" s="198"/>
      <c r="Z151" s="198"/>
    </row>
    <row r="152" spans="5:26" ht="34.200000000000003">
      <c r="E152" s="190"/>
      <c r="F152" s="191"/>
      <c r="G152" s="191" t="s">
        <v>609</v>
      </c>
      <c r="H152" s="191"/>
      <c r="I152" s="191" t="s">
        <v>341</v>
      </c>
      <c r="J152" s="195" t="s">
        <v>412</v>
      </c>
      <c r="K152" s="191"/>
      <c r="L152" s="190"/>
      <c r="M152" s="194"/>
      <c r="N152" s="194"/>
      <c r="O152" s="194"/>
      <c r="P152" s="198"/>
      <c r="Q152" s="198"/>
      <c r="R152" s="198"/>
      <c r="S152" s="198"/>
      <c r="T152" s="198"/>
      <c r="U152" s="198"/>
      <c r="V152" s="198"/>
      <c r="W152" s="198"/>
      <c r="X152" s="198"/>
      <c r="Y152" s="198"/>
      <c r="Z152" s="198"/>
    </row>
    <row r="153" spans="5:26" ht="34.200000000000003">
      <c r="E153" s="190"/>
      <c r="F153" s="191"/>
      <c r="G153" s="191" t="s">
        <v>610</v>
      </c>
      <c r="H153" s="191"/>
      <c r="I153" s="191">
        <v>1234</v>
      </c>
      <c r="J153" s="195" t="s">
        <v>412</v>
      </c>
      <c r="K153" s="191"/>
      <c r="L153" s="190"/>
      <c r="M153" s="194"/>
      <c r="N153" s="194"/>
      <c r="O153" s="194"/>
      <c r="P153" s="198"/>
      <c r="Q153" s="198"/>
      <c r="R153" s="198"/>
      <c r="S153" s="198"/>
      <c r="T153" s="198"/>
      <c r="U153" s="198"/>
      <c r="V153" s="198"/>
      <c r="W153" s="198"/>
      <c r="X153" s="198"/>
      <c r="Y153" s="198"/>
      <c r="Z153" s="198"/>
    </row>
    <row r="154" spans="5:26" ht="34.200000000000003">
      <c r="E154" s="190"/>
      <c r="F154" s="191"/>
      <c r="G154" s="191" t="s">
        <v>611</v>
      </c>
      <c r="H154" s="191"/>
      <c r="I154" s="191" t="s">
        <v>385</v>
      </c>
      <c r="J154" s="195" t="s">
        <v>412</v>
      </c>
      <c r="K154" s="191"/>
      <c r="L154" s="190"/>
      <c r="M154" s="194"/>
      <c r="N154" s="194"/>
      <c r="O154" s="194"/>
      <c r="P154" s="198"/>
      <c r="Q154" s="198"/>
      <c r="R154" s="198"/>
      <c r="S154" s="198"/>
      <c r="T154" s="198"/>
      <c r="U154" s="198"/>
      <c r="V154" s="198"/>
      <c r="W154" s="198"/>
      <c r="X154" s="198"/>
      <c r="Y154" s="198"/>
      <c r="Z154" s="198"/>
    </row>
    <row r="155" spans="5:26" ht="45.6">
      <c r="E155" s="190"/>
      <c r="F155" s="191"/>
      <c r="G155" s="191" t="s">
        <v>612</v>
      </c>
      <c r="H155" s="191"/>
      <c r="I155" s="195"/>
      <c r="J155" s="191" t="s">
        <v>417</v>
      </c>
      <c r="K155" s="191"/>
      <c r="L155" s="190"/>
      <c r="M155" s="194"/>
      <c r="N155" s="194"/>
      <c r="O155" s="194"/>
      <c r="P155" s="198"/>
      <c r="Q155" s="198"/>
      <c r="R155" s="198"/>
      <c r="S155" s="198"/>
      <c r="T155" s="198"/>
      <c r="U155" s="198"/>
      <c r="V155" s="198"/>
      <c r="W155" s="198"/>
      <c r="X155" s="198"/>
      <c r="Y155" s="198"/>
      <c r="Z155" s="198"/>
    </row>
    <row r="156" spans="5:26" ht="34.200000000000003">
      <c r="E156" s="190"/>
      <c r="F156" s="191"/>
      <c r="G156" s="191" t="s">
        <v>613</v>
      </c>
      <c r="H156" s="191"/>
      <c r="I156" s="195"/>
      <c r="J156" s="195" t="s">
        <v>412</v>
      </c>
      <c r="K156" s="191"/>
      <c r="L156" s="190"/>
      <c r="M156" s="194"/>
      <c r="N156" s="194"/>
      <c r="O156" s="194"/>
      <c r="P156" s="198"/>
      <c r="Q156" s="198"/>
      <c r="R156" s="198"/>
      <c r="S156" s="198"/>
      <c r="T156" s="198"/>
      <c r="U156" s="198"/>
      <c r="V156" s="198"/>
      <c r="W156" s="198"/>
      <c r="X156" s="198"/>
      <c r="Y156" s="198"/>
      <c r="Z156" s="198"/>
    </row>
    <row r="157" spans="5:26" ht="34.200000000000003">
      <c r="E157" s="190"/>
      <c r="F157" s="191"/>
      <c r="G157" s="191" t="s">
        <v>614</v>
      </c>
      <c r="H157" s="191"/>
      <c r="I157" s="195"/>
      <c r="J157" s="195" t="s">
        <v>421</v>
      </c>
      <c r="K157" s="191"/>
      <c r="L157" s="190"/>
      <c r="M157" s="194"/>
      <c r="N157" s="194"/>
      <c r="O157" s="194"/>
      <c r="P157" s="198"/>
      <c r="Q157" s="198"/>
      <c r="R157" s="198"/>
      <c r="S157" s="198"/>
      <c r="T157" s="198"/>
      <c r="U157" s="198"/>
      <c r="V157" s="198"/>
      <c r="W157" s="198"/>
      <c r="X157" s="198"/>
      <c r="Y157" s="198"/>
      <c r="Z157" s="198"/>
    </row>
    <row r="158" spans="5:26">
      <c r="E158" s="190"/>
      <c r="F158" s="191"/>
      <c r="G158" s="191" t="s">
        <v>286</v>
      </c>
      <c r="H158" s="191"/>
      <c r="I158" s="195"/>
      <c r="J158" s="195" t="s">
        <v>282</v>
      </c>
      <c r="K158" s="191"/>
      <c r="L158" s="190"/>
      <c r="M158" s="194"/>
      <c r="N158" s="194"/>
      <c r="O158" s="194"/>
      <c r="P158" s="198"/>
      <c r="Q158" s="198"/>
      <c r="R158" s="198"/>
      <c r="S158" s="198"/>
      <c r="T158" s="198"/>
      <c r="U158" s="198"/>
      <c r="V158" s="198"/>
      <c r="W158" s="198"/>
      <c r="X158" s="198"/>
      <c r="Y158" s="198"/>
      <c r="Z158" s="198"/>
    </row>
    <row r="159" spans="5:26" ht="34.200000000000003">
      <c r="E159" s="190"/>
      <c r="F159" s="191"/>
      <c r="G159" s="191" t="s">
        <v>615</v>
      </c>
      <c r="H159" s="191"/>
      <c r="I159" s="195"/>
      <c r="J159" s="195" t="s">
        <v>412</v>
      </c>
      <c r="K159" s="191"/>
      <c r="L159" s="190"/>
      <c r="M159" s="194"/>
      <c r="N159" s="194"/>
      <c r="O159" s="194"/>
      <c r="P159" s="198"/>
      <c r="Q159" s="198"/>
      <c r="R159" s="198"/>
      <c r="S159" s="198"/>
      <c r="T159" s="198"/>
      <c r="U159" s="198"/>
      <c r="V159" s="198"/>
      <c r="W159" s="198"/>
      <c r="X159" s="198"/>
      <c r="Y159" s="198"/>
      <c r="Z159" s="198"/>
    </row>
    <row r="160" spans="5:26" ht="34.200000000000003">
      <c r="E160" s="190"/>
      <c r="F160" s="191"/>
      <c r="G160" s="191" t="s">
        <v>616</v>
      </c>
      <c r="H160" s="191"/>
      <c r="I160" s="195"/>
      <c r="J160" s="195" t="s">
        <v>412</v>
      </c>
      <c r="K160" s="191"/>
      <c r="L160" s="190"/>
      <c r="M160" s="194"/>
      <c r="N160" s="194"/>
      <c r="O160" s="194"/>
      <c r="P160" s="198"/>
      <c r="Q160" s="198"/>
      <c r="R160" s="198"/>
      <c r="S160" s="198"/>
      <c r="T160" s="198"/>
      <c r="U160" s="198"/>
      <c r="V160" s="198"/>
      <c r="W160" s="198"/>
      <c r="X160" s="198"/>
      <c r="Y160" s="198"/>
      <c r="Z160" s="198"/>
    </row>
    <row r="161" spans="5:26" ht="45.6">
      <c r="E161" s="190"/>
      <c r="F161" s="191"/>
      <c r="G161" s="191" t="s">
        <v>617</v>
      </c>
      <c r="H161" s="191"/>
      <c r="I161" s="195"/>
      <c r="J161" s="195" t="s">
        <v>421</v>
      </c>
      <c r="K161" s="191"/>
      <c r="L161" s="190"/>
      <c r="M161" s="194"/>
      <c r="N161" s="194"/>
      <c r="O161" s="194"/>
      <c r="P161" s="198"/>
      <c r="Q161" s="198"/>
      <c r="R161" s="198"/>
      <c r="S161" s="198"/>
      <c r="T161" s="198"/>
      <c r="U161" s="198"/>
      <c r="V161" s="198"/>
      <c r="W161" s="198"/>
      <c r="X161" s="198"/>
      <c r="Y161" s="198"/>
      <c r="Z161" s="198"/>
    </row>
    <row r="162" spans="5:26">
      <c r="E162" s="190"/>
      <c r="F162" s="191"/>
      <c r="G162" s="191" t="s">
        <v>286</v>
      </c>
      <c r="H162" s="191"/>
      <c r="I162" s="195"/>
      <c r="J162" s="195" t="s">
        <v>282</v>
      </c>
      <c r="K162" s="191"/>
      <c r="L162" s="190"/>
      <c r="M162" s="194"/>
      <c r="N162" s="194"/>
      <c r="O162" s="194"/>
      <c r="P162" s="198"/>
      <c r="Q162" s="198"/>
      <c r="R162" s="198"/>
      <c r="S162" s="198"/>
      <c r="T162" s="198"/>
      <c r="U162" s="198"/>
      <c r="V162" s="198"/>
      <c r="W162" s="198"/>
      <c r="X162" s="198"/>
      <c r="Y162" s="198"/>
      <c r="Z162" s="198"/>
    </row>
    <row r="163" spans="5:26" ht="34.200000000000003">
      <c r="E163" s="190"/>
      <c r="F163" s="191"/>
      <c r="G163" s="191" t="s">
        <v>618</v>
      </c>
      <c r="H163" s="191"/>
      <c r="I163" s="195"/>
      <c r="J163" s="195" t="s">
        <v>412</v>
      </c>
      <c r="K163" s="191"/>
      <c r="L163" s="190"/>
      <c r="M163" s="194"/>
      <c r="N163" s="194"/>
      <c r="O163" s="194"/>
      <c r="P163" s="198"/>
      <c r="Q163" s="198"/>
      <c r="R163" s="198"/>
      <c r="S163" s="198"/>
      <c r="T163" s="198"/>
      <c r="U163" s="198"/>
      <c r="V163" s="198"/>
      <c r="W163" s="198"/>
      <c r="X163" s="198"/>
      <c r="Y163" s="198"/>
      <c r="Z163" s="198"/>
    </row>
    <row r="164" spans="5:26" ht="45.6">
      <c r="E164" s="190"/>
      <c r="F164" s="191"/>
      <c r="G164" s="191" t="s">
        <v>619</v>
      </c>
      <c r="H164" s="191"/>
      <c r="I164" s="195"/>
      <c r="J164" s="195" t="s">
        <v>412</v>
      </c>
      <c r="K164" s="191"/>
      <c r="L164" s="190"/>
      <c r="M164" s="194"/>
      <c r="N164" s="194"/>
      <c r="O164" s="194"/>
      <c r="P164" s="198"/>
      <c r="Q164" s="198"/>
      <c r="R164" s="198"/>
      <c r="S164" s="198"/>
      <c r="T164" s="198"/>
      <c r="U164" s="198"/>
      <c r="V164" s="198"/>
      <c r="W164" s="198"/>
      <c r="X164" s="198"/>
      <c r="Y164" s="198"/>
      <c r="Z164" s="198"/>
    </row>
    <row r="165" spans="5:26" ht="45.6">
      <c r="E165" s="190"/>
      <c r="F165" s="191"/>
      <c r="G165" s="191" t="s">
        <v>620</v>
      </c>
      <c r="H165" s="191"/>
      <c r="I165" s="195"/>
      <c r="J165" s="195" t="s">
        <v>421</v>
      </c>
      <c r="K165" s="191"/>
      <c r="L165" s="190"/>
      <c r="M165" s="194"/>
      <c r="N165" s="194"/>
      <c r="O165" s="194"/>
      <c r="P165" s="198"/>
      <c r="Q165" s="198"/>
      <c r="R165" s="198"/>
      <c r="S165" s="198"/>
      <c r="T165" s="198"/>
      <c r="U165" s="198"/>
      <c r="V165" s="198"/>
      <c r="W165" s="198"/>
      <c r="X165" s="198"/>
      <c r="Y165" s="198"/>
      <c r="Z165" s="198"/>
    </row>
    <row r="166" spans="5:26">
      <c r="E166" s="190"/>
      <c r="F166" s="191"/>
      <c r="G166" s="191" t="s">
        <v>286</v>
      </c>
      <c r="H166" s="191"/>
      <c r="I166" s="195"/>
      <c r="J166" s="195" t="s">
        <v>282</v>
      </c>
      <c r="K166" s="191"/>
      <c r="L166" s="190"/>
      <c r="M166" s="194"/>
      <c r="N166" s="194"/>
      <c r="O166" s="194"/>
      <c r="P166" s="198"/>
      <c r="Q166" s="198"/>
      <c r="R166" s="198"/>
      <c r="S166" s="198"/>
      <c r="T166" s="198"/>
      <c r="U166" s="198"/>
      <c r="V166" s="198"/>
      <c r="W166" s="198"/>
      <c r="X166" s="198"/>
      <c r="Y166" s="198"/>
      <c r="Z166" s="198"/>
    </row>
    <row r="167" spans="5:26" ht="22.8">
      <c r="E167" s="190"/>
      <c r="F167" s="191"/>
      <c r="G167" s="191" t="s">
        <v>553</v>
      </c>
      <c r="H167" s="191"/>
      <c r="I167" s="195"/>
      <c r="J167" s="195" t="s">
        <v>412</v>
      </c>
      <c r="K167" s="191"/>
      <c r="L167" s="190"/>
      <c r="M167" s="194"/>
      <c r="N167" s="194"/>
      <c r="O167" s="194"/>
      <c r="P167" s="198"/>
      <c r="Q167" s="198"/>
      <c r="R167" s="198"/>
      <c r="S167" s="198"/>
      <c r="T167" s="198"/>
      <c r="U167" s="198"/>
      <c r="V167" s="198"/>
      <c r="W167" s="198"/>
      <c r="X167" s="198"/>
      <c r="Y167" s="198"/>
      <c r="Z167" s="198"/>
    </row>
    <row r="168" spans="5:26" ht="34.200000000000003">
      <c r="E168" s="190"/>
      <c r="F168" s="191"/>
      <c r="G168" s="191" t="s">
        <v>621</v>
      </c>
      <c r="H168" s="191"/>
      <c r="I168" s="195"/>
      <c r="J168" s="195" t="s">
        <v>412</v>
      </c>
      <c r="K168" s="191"/>
      <c r="L168" s="190"/>
      <c r="M168" s="194"/>
      <c r="N168" s="194"/>
      <c r="O168" s="194"/>
      <c r="P168" s="198"/>
      <c r="Q168" s="198"/>
      <c r="R168" s="198"/>
      <c r="S168" s="198"/>
      <c r="T168" s="198"/>
      <c r="U168" s="198"/>
      <c r="V168" s="198"/>
      <c r="W168" s="198"/>
      <c r="X168" s="198"/>
      <c r="Y168" s="198"/>
      <c r="Z168" s="198"/>
    </row>
    <row r="169" spans="5:26" ht="34.200000000000003">
      <c r="E169" s="190"/>
      <c r="F169" s="191"/>
      <c r="G169" s="191" t="s">
        <v>622</v>
      </c>
      <c r="H169" s="191"/>
      <c r="I169" s="195"/>
      <c r="J169" s="195" t="s">
        <v>421</v>
      </c>
      <c r="K169" s="191"/>
      <c r="L169" s="190"/>
      <c r="M169" s="194"/>
      <c r="N169" s="194"/>
      <c r="O169" s="194"/>
      <c r="P169" s="198"/>
      <c r="Q169" s="198"/>
      <c r="R169" s="198"/>
      <c r="S169" s="198"/>
      <c r="T169" s="198"/>
      <c r="U169" s="198"/>
      <c r="V169" s="198"/>
      <c r="W169" s="198"/>
      <c r="X169" s="198"/>
      <c r="Y169" s="198"/>
      <c r="Z169" s="198"/>
    </row>
    <row r="170" spans="5:26">
      <c r="E170" s="190"/>
      <c r="F170" s="191"/>
      <c r="G170" s="191" t="s">
        <v>286</v>
      </c>
      <c r="H170" s="191"/>
      <c r="I170" s="195"/>
      <c r="J170" s="195" t="s">
        <v>282</v>
      </c>
      <c r="K170" s="191"/>
      <c r="L170" s="190"/>
      <c r="M170" s="194"/>
      <c r="N170" s="194"/>
      <c r="O170" s="194"/>
      <c r="P170" s="198"/>
      <c r="Q170" s="198"/>
      <c r="R170" s="198"/>
      <c r="S170" s="198"/>
      <c r="T170" s="198"/>
      <c r="U170" s="198"/>
      <c r="V170" s="198"/>
      <c r="W170" s="198"/>
      <c r="X170" s="198"/>
      <c r="Y170" s="198"/>
      <c r="Z170" s="198"/>
    </row>
    <row r="171" spans="5:26" ht="34.200000000000003">
      <c r="E171" s="190">
        <v>9</v>
      </c>
      <c r="F171" s="191" t="s">
        <v>623</v>
      </c>
      <c r="G171" s="191" t="s">
        <v>624</v>
      </c>
      <c r="H171" s="191"/>
      <c r="I171" s="195"/>
      <c r="J171" s="195" t="s">
        <v>429</v>
      </c>
      <c r="K171" s="191"/>
      <c r="L171" s="190"/>
      <c r="M171" s="194"/>
      <c r="N171" s="194"/>
      <c r="O171" s="194"/>
      <c r="P171" s="198"/>
      <c r="Q171" s="198"/>
      <c r="R171" s="198"/>
      <c r="S171" s="198"/>
      <c r="T171" s="198"/>
      <c r="U171" s="198"/>
      <c r="V171" s="198"/>
      <c r="W171" s="198"/>
      <c r="X171" s="198"/>
      <c r="Y171" s="198"/>
      <c r="Z171" s="198"/>
    </row>
    <row r="172" spans="5:26" ht="45.6">
      <c r="E172" s="190"/>
      <c r="F172" s="191"/>
      <c r="G172" s="191" t="s">
        <v>625</v>
      </c>
      <c r="H172" s="191"/>
      <c r="I172" s="195"/>
      <c r="J172" s="195" t="s">
        <v>288</v>
      </c>
      <c r="K172" s="191"/>
      <c r="L172" s="190"/>
      <c r="M172" s="194"/>
      <c r="N172" s="194"/>
      <c r="O172" s="194"/>
      <c r="P172" s="198"/>
      <c r="Q172" s="198"/>
      <c r="R172" s="198"/>
      <c r="S172" s="198"/>
      <c r="T172" s="198"/>
      <c r="U172" s="198"/>
      <c r="V172" s="198"/>
      <c r="W172" s="198"/>
      <c r="X172" s="198"/>
      <c r="Y172" s="198"/>
      <c r="Z172" s="198"/>
    </row>
    <row r="173" spans="5:26" ht="22.8">
      <c r="E173" s="190"/>
      <c r="F173" s="191"/>
      <c r="G173" s="191" t="s">
        <v>431</v>
      </c>
      <c r="H173" s="191"/>
      <c r="I173" s="195"/>
      <c r="J173" s="195" t="s">
        <v>282</v>
      </c>
      <c r="K173" s="191"/>
      <c r="L173" s="190"/>
      <c r="M173" s="194"/>
      <c r="N173" s="194"/>
      <c r="O173" s="194"/>
      <c r="P173" s="198"/>
      <c r="Q173" s="198"/>
      <c r="R173" s="198"/>
      <c r="S173" s="198"/>
      <c r="T173" s="198"/>
      <c r="U173" s="198"/>
      <c r="V173" s="198"/>
      <c r="W173" s="198"/>
      <c r="X173" s="198"/>
      <c r="Y173" s="198"/>
      <c r="Z173" s="198"/>
    </row>
    <row r="174" spans="5:26" ht="30.6">
      <c r="E174" s="190"/>
      <c r="F174" s="191"/>
      <c r="G174" s="191" t="s">
        <v>290</v>
      </c>
      <c r="H174" s="191"/>
      <c r="I174" s="195"/>
      <c r="J174" s="195" t="s">
        <v>406</v>
      </c>
      <c r="K174" s="191"/>
      <c r="L174" s="190"/>
      <c r="M174" s="194"/>
      <c r="N174" s="194"/>
      <c r="O174" s="194"/>
      <c r="P174" s="198"/>
      <c r="Q174" s="198"/>
      <c r="R174" s="198"/>
      <c r="S174" s="198"/>
      <c r="T174" s="198"/>
      <c r="U174" s="198"/>
      <c r="V174" s="198"/>
      <c r="W174" s="198"/>
      <c r="X174" s="198"/>
      <c r="Y174" s="198"/>
      <c r="Z174" s="198"/>
    </row>
    <row r="175" spans="5:26" ht="22.8">
      <c r="E175" s="190"/>
      <c r="F175" s="191"/>
      <c r="G175" s="191" t="s">
        <v>292</v>
      </c>
      <c r="H175" s="191"/>
      <c r="I175" s="195"/>
      <c r="J175" s="195" t="s">
        <v>282</v>
      </c>
      <c r="K175" s="191"/>
      <c r="L175" s="190"/>
      <c r="M175" s="194"/>
      <c r="N175" s="194"/>
      <c r="O175" s="194"/>
      <c r="P175" s="198"/>
      <c r="Q175" s="198"/>
      <c r="R175" s="198"/>
      <c r="S175" s="198"/>
      <c r="T175" s="198"/>
      <c r="U175" s="198"/>
      <c r="V175" s="198"/>
      <c r="W175" s="198"/>
      <c r="X175" s="198"/>
      <c r="Y175" s="198"/>
      <c r="Z175" s="198"/>
    </row>
    <row r="176" spans="5:26" ht="34.200000000000003">
      <c r="E176" s="190">
        <v>10</v>
      </c>
      <c r="F176" s="191" t="s">
        <v>432</v>
      </c>
      <c r="G176" s="191" t="s">
        <v>569</v>
      </c>
      <c r="H176" s="191"/>
      <c r="I176" s="191"/>
      <c r="J176" s="191" t="s">
        <v>294</v>
      </c>
      <c r="K176" s="191"/>
      <c r="L176" s="190"/>
      <c r="M176" s="194"/>
      <c r="N176" s="194"/>
      <c r="O176" s="194"/>
      <c r="P176" s="198"/>
      <c r="Q176" s="198"/>
      <c r="R176" s="198"/>
      <c r="S176" s="198"/>
      <c r="T176" s="198"/>
      <c r="U176" s="198"/>
      <c r="V176" s="198"/>
      <c r="W176" s="198"/>
      <c r="X176" s="198"/>
      <c r="Y176" s="198"/>
      <c r="Z176" s="198"/>
    </row>
    <row r="177" spans="1:26" ht="34.200000000000003">
      <c r="E177" s="190"/>
      <c r="F177" s="191"/>
      <c r="G177" s="191" t="s">
        <v>626</v>
      </c>
      <c r="H177" s="191"/>
      <c r="I177" s="191"/>
      <c r="J177" s="191" t="s">
        <v>627</v>
      </c>
      <c r="K177" s="191"/>
      <c r="L177" s="190"/>
      <c r="M177" s="194"/>
      <c r="N177" s="194"/>
      <c r="O177" s="194"/>
      <c r="P177" s="198"/>
      <c r="Q177" s="198"/>
      <c r="R177" s="198"/>
      <c r="S177" s="198"/>
      <c r="T177" s="198"/>
      <c r="U177" s="198"/>
      <c r="V177" s="198"/>
      <c r="W177" s="198"/>
      <c r="X177" s="198"/>
      <c r="Y177" s="198"/>
      <c r="Z177" s="198"/>
    </row>
    <row r="178" spans="1:26" ht="34.200000000000003">
      <c r="E178" s="190"/>
      <c r="F178" s="191"/>
      <c r="G178" s="191" t="s">
        <v>628</v>
      </c>
      <c r="H178" s="191"/>
      <c r="I178" s="191"/>
      <c r="J178" s="191" t="s">
        <v>629</v>
      </c>
      <c r="K178" s="191"/>
      <c r="L178" s="190"/>
      <c r="M178" s="194"/>
      <c r="N178" s="194"/>
      <c r="O178" s="194"/>
      <c r="P178" s="198"/>
      <c r="Q178" s="198"/>
      <c r="R178" s="198"/>
      <c r="S178" s="198"/>
      <c r="T178" s="198"/>
      <c r="U178" s="198"/>
      <c r="V178" s="198"/>
      <c r="W178" s="198"/>
      <c r="X178" s="198"/>
      <c r="Y178" s="198"/>
      <c r="Z178" s="198"/>
    </row>
    <row r="179" spans="1:26" ht="34.200000000000003">
      <c r="E179" s="190"/>
      <c r="F179" s="191"/>
      <c r="G179" s="191" t="s">
        <v>630</v>
      </c>
      <c r="H179" s="191"/>
      <c r="I179" s="191"/>
      <c r="J179" s="191" t="s">
        <v>631</v>
      </c>
      <c r="K179" s="191"/>
      <c r="L179" s="190"/>
      <c r="M179" s="194"/>
      <c r="N179" s="194"/>
      <c r="O179" s="194"/>
      <c r="P179" s="198"/>
      <c r="Q179" s="198"/>
      <c r="R179" s="198"/>
      <c r="S179" s="198"/>
      <c r="T179" s="198"/>
      <c r="U179" s="198"/>
      <c r="V179" s="198"/>
      <c r="W179" s="198"/>
      <c r="X179" s="198"/>
      <c r="Y179" s="198"/>
      <c r="Z179" s="198"/>
    </row>
    <row r="180" spans="1:26" ht="34.200000000000003">
      <c r="E180" s="190"/>
      <c r="F180" s="191"/>
      <c r="G180" s="191" t="s">
        <v>632</v>
      </c>
      <c r="H180" s="191"/>
      <c r="I180" s="191"/>
      <c r="J180" s="191" t="s">
        <v>633</v>
      </c>
      <c r="K180" s="191"/>
      <c r="L180" s="190"/>
      <c r="M180" s="194"/>
      <c r="N180" s="194"/>
      <c r="O180" s="194"/>
      <c r="P180" s="198"/>
      <c r="Q180" s="198"/>
      <c r="R180" s="198"/>
      <c r="S180" s="198"/>
      <c r="T180" s="198"/>
      <c r="U180" s="198"/>
      <c r="V180" s="198"/>
      <c r="W180" s="198"/>
      <c r="X180" s="198"/>
      <c r="Y180" s="198"/>
      <c r="Z180" s="198"/>
    </row>
    <row r="181" spans="1:26" ht="34.200000000000003">
      <c r="E181" s="190"/>
      <c r="F181" s="191"/>
      <c r="G181" s="191" t="s">
        <v>439</v>
      </c>
      <c r="H181" s="191"/>
      <c r="I181" s="191"/>
      <c r="J181" s="191" t="s">
        <v>440</v>
      </c>
      <c r="K181" s="191"/>
      <c r="L181" s="190"/>
      <c r="M181" s="194"/>
      <c r="N181" s="194"/>
      <c r="O181" s="194"/>
      <c r="P181" s="198"/>
      <c r="Q181" s="198"/>
      <c r="R181" s="198"/>
      <c r="S181" s="198"/>
      <c r="T181" s="198"/>
      <c r="U181" s="198"/>
      <c r="V181" s="198"/>
      <c r="W181" s="198"/>
      <c r="X181" s="198"/>
      <c r="Y181" s="198"/>
      <c r="Z181" s="198"/>
    </row>
    <row r="182" spans="1:26" ht="22.8">
      <c r="E182" s="190"/>
      <c r="F182" s="191"/>
      <c r="G182" s="191" t="s">
        <v>634</v>
      </c>
      <c r="H182" s="191"/>
      <c r="I182" s="191"/>
      <c r="J182" s="191" t="s">
        <v>635</v>
      </c>
      <c r="K182" s="191"/>
      <c r="L182" s="190"/>
      <c r="M182" s="194"/>
      <c r="N182" s="194"/>
      <c r="O182" s="194"/>
      <c r="P182" s="198"/>
      <c r="Q182" s="198"/>
      <c r="R182" s="198"/>
      <c r="S182" s="198"/>
      <c r="T182" s="198"/>
      <c r="U182" s="198"/>
      <c r="V182" s="198"/>
      <c r="W182" s="198"/>
      <c r="X182" s="198"/>
      <c r="Y182" s="198"/>
      <c r="Z182" s="198"/>
    </row>
    <row r="183" spans="1:26" ht="22.8">
      <c r="E183" s="190"/>
      <c r="F183" s="191"/>
      <c r="G183" s="191" t="s">
        <v>636</v>
      </c>
      <c r="H183" s="191"/>
      <c r="I183" s="191"/>
      <c r="J183" s="191" t="s">
        <v>637</v>
      </c>
      <c r="K183" s="191"/>
      <c r="L183" s="190"/>
      <c r="M183" s="194"/>
      <c r="N183" s="194"/>
      <c r="O183" s="194"/>
      <c r="P183" s="198"/>
      <c r="Q183" s="198"/>
      <c r="R183" s="198"/>
      <c r="S183" s="198"/>
      <c r="T183" s="198"/>
      <c r="U183" s="198"/>
      <c r="V183" s="198"/>
      <c r="W183" s="198"/>
      <c r="X183" s="198"/>
      <c r="Y183" s="198"/>
      <c r="Z183" s="198"/>
    </row>
    <row r="184" spans="1:26" ht="22.8">
      <c r="E184" s="190"/>
      <c r="F184" s="191"/>
      <c r="G184" s="191" t="s">
        <v>638</v>
      </c>
      <c r="H184" s="191"/>
      <c r="I184" s="191"/>
      <c r="J184" s="191" t="s">
        <v>639</v>
      </c>
      <c r="K184" s="191"/>
      <c r="L184" s="190"/>
      <c r="M184" s="194"/>
      <c r="N184" s="194"/>
      <c r="O184" s="194"/>
      <c r="P184" s="198"/>
      <c r="Q184" s="198"/>
      <c r="R184" s="198"/>
      <c r="S184" s="198"/>
      <c r="T184" s="198"/>
      <c r="U184" s="198"/>
      <c r="V184" s="198"/>
      <c r="W184" s="198"/>
      <c r="X184" s="198"/>
      <c r="Y184" s="198"/>
      <c r="Z184" s="198"/>
    </row>
    <row r="185" spans="1:26" ht="22.8">
      <c r="E185" s="190"/>
      <c r="F185" s="191"/>
      <c r="G185" s="191" t="s">
        <v>447</v>
      </c>
      <c r="H185" s="191"/>
      <c r="I185" s="191"/>
      <c r="J185" s="191" t="s">
        <v>448</v>
      </c>
      <c r="K185" s="191"/>
      <c r="L185" s="190"/>
      <c r="M185" s="194"/>
      <c r="N185" s="194"/>
      <c r="O185" s="194"/>
      <c r="P185" s="198"/>
      <c r="Q185" s="198"/>
      <c r="R185" s="198"/>
      <c r="S185" s="198"/>
      <c r="T185" s="198"/>
      <c r="U185" s="198"/>
      <c r="V185" s="198"/>
      <c r="W185" s="198"/>
      <c r="X185" s="198"/>
      <c r="Y185" s="198"/>
      <c r="Z185" s="198"/>
    </row>
    <row r="186" spans="1:26" s="209" customFormat="1" ht="22.8">
      <c r="A186" s="251"/>
      <c r="B186" s="252"/>
      <c r="C186" s="252"/>
      <c r="D186" s="252"/>
      <c r="E186" s="263"/>
      <c r="F186" s="265"/>
      <c r="G186" s="264" t="s">
        <v>1006</v>
      </c>
      <c r="H186" s="191"/>
      <c r="I186" s="265"/>
      <c r="J186" s="264" t="s">
        <v>1007</v>
      </c>
      <c r="K186" s="191"/>
      <c r="L186" s="190"/>
      <c r="M186" s="194"/>
      <c r="N186" s="194"/>
      <c r="O186" s="266"/>
      <c r="P186" s="252"/>
      <c r="Q186" s="252"/>
      <c r="R186" s="252"/>
      <c r="S186" s="252"/>
      <c r="T186" s="252"/>
      <c r="U186" s="252"/>
      <c r="V186" s="252"/>
      <c r="W186" s="252"/>
      <c r="X186" s="252"/>
      <c r="Y186" s="252"/>
      <c r="Z186" s="252"/>
    </row>
    <row r="187" spans="1:26" s="209" customFormat="1" ht="34.200000000000003">
      <c r="A187" s="251"/>
      <c r="B187" s="252"/>
      <c r="C187" s="252"/>
      <c r="D187" s="252"/>
      <c r="E187" s="263"/>
      <c r="F187" s="265"/>
      <c r="G187" s="264" t="s">
        <v>1004</v>
      </c>
      <c r="H187" s="191"/>
      <c r="I187" s="265"/>
      <c r="J187" s="264" t="s">
        <v>1005</v>
      </c>
      <c r="K187" s="191"/>
      <c r="L187" s="190"/>
      <c r="M187" s="194"/>
      <c r="N187" s="194"/>
      <c r="O187" s="266"/>
      <c r="P187" s="252"/>
      <c r="Q187" s="252"/>
      <c r="R187" s="252"/>
      <c r="S187" s="252"/>
      <c r="T187" s="252"/>
      <c r="U187" s="252"/>
      <c r="V187" s="252"/>
      <c r="W187" s="252"/>
      <c r="X187" s="252"/>
      <c r="Y187" s="252"/>
      <c r="Z187" s="252"/>
    </row>
    <row r="188" spans="1:26" s="209" customFormat="1" ht="22.8">
      <c r="A188" s="251"/>
      <c r="B188" s="252"/>
      <c r="C188" s="252"/>
      <c r="D188" s="252"/>
      <c r="E188" s="263"/>
      <c r="F188" s="265"/>
      <c r="G188" s="264" t="s">
        <v>1000</v>
      </c>
      <c r="H188" s="191"/>
      <c r="I188" s="265"/>
      <c r="J188" s="264" t="s">
        <v>1001</v>
      </c>
      <c r="K188" s="191"/>
      <c r="L188" s="190"/>
      <c r="M188" s="194"/>
      <c r="N188" s="194"/>
      <c r="O188" s="266"/>
      <c r="P188" s="252"/>
      <c r="Q188" s="252"/>
      <c r="R188" s="252"/>
      <c r="S188" s="252"/>
      <c r="T188" s="252"/>
      <c r="U188" s="252"/>
      <c r="V188" s="252"/>
      <c r="W188" s="252"/>
      <c r="X188" s="252"/>
      <c r="Y188" s="252"/>
      <c r="Z188" s="252"/>
    </row>
    <row r="189" spans="1:26" s="209" customFormat="1" ht="34.200000000000003">
      <c r="A189" s="251"/>
      <c r="B189" s="252"/>
      <c r="C189" s="252"/>
      <c r="D189" s="252"/>
      <c r="E189" s="263"/>
      <c r="F189" s="265"/>
      <c r="G189" s="264" t="s">
        <v>1002</v>
      </c>
      <c r="H189" s="191"/>
      <c r="I189" s="265"/>
      <c r="J189" s="264" t="s">
        <v>1003</v>
      </c>
      <c r="K189" s="191"/>
      <c r="L189" s="190"/>
      <c r="M189" s="194"/>
      <c r="N189" s="194"/>
      <c r="O189" s="266"/>
      <c r="P189" s="252"/>
      <c r="Q189" s="252"/>
      <c r="R189" s="252"/>
      <c r="S189" s="252"/>
      <c r="T189" s="252"/>
      <c r="U189" s="252"/>
      <c r="V189" s="252"/>
      <c r="W189" s="252"/>
      <c r="X189" s="252"/>
      <c r="Y189" s="252"/>
      <c r="Z189" s="252"/>
    </row>
    <row r="190" spans="1:26" ht="34.200000000000003">
      <c r="E190" s="190"/>
      <c r="F190" s="191"/>
      <c r="G190" s="191" t="s">
        <v>449</v>
      </c>
      <c r="H190" s="191"/>
      <c r="I190" s="191"/>
      <c r="J190" s="191" t="s">
        <v>450</v>
      </c>
      <c r="K190" s="191"/>
      <c r="L190" s="190"/>
      <c r="M190" s="194"/>
      <c r="N190" s="194"/>
      <c r="O190" s="194"/>
      <c r="P190" s="198"/>
      <c r="Q190" s="198"/>
      <c r="R190" s="198"/>
      <c r="S190" s="198"/>
      <c r="T190" s="198"/>
      <c r="U190" s="198"/>
      <c r="V190" s="198"/>
      <c r="W190" s="198"/>
      <c r="X190" s="198"/>
      <c r="Y190" s="198"/>
      <c r="Z190" s="198"/>
    </row>
    <row r="191" spans="1:26">
      <c r="E191" s="190"/>
      <c r="F191" s="191"/>
      <c r="G191" s="191" t="s">
        <v>451</v>
      </c>
      <c r="H191" s="191"/>
      <c r="I191" s="191"/>
      <c r="J191" s="191" t="s">
        <v>452</v>
      </c>
      <c r="K191" s="191"/>
      <c r="L191" s="190"/>
      <c r="M191" s="194"/>
      <c r="N191" s="194"/>
      <c r="O191" s="194"/>
      <c r="P191" s="198"/>
      <c r="Q191" s="198"/>
      <c r="R191" s="198"/>
      <c r="S191" s="198"/>
      <c r="T191" s="198"/>
      <c r="U191" s="198"/>
      <c r="V191" s="198"/>
      <c r="W191" s="198"/>
      <c r="X191" s="198"/>
      <c r="Y191" s="198"/>
      <c r="Z191" s="198"/>
    </row>
    <row r="192" spans="1:26" ht="22.8">
      <c r="E192" s="190"/>
      <c r="F192" s="191"/>
      <c r="G192" s="191" t="s">
        <v>453</v>
      </c>
      <c r="H192" s="191"/>
      <c r="I192" s="191"/>
      <c r="J192" s="191" t="s">
        <v>454</v>
      </c>
      <c r="K192" s="191"/>
      <c r="L192" s="190"/>
      <c r="M192" s="194"/>
      <c r="N192" s="194"/>
      <c r="O192" s="194"/>
      <c r="P192" s="198"/>
      <c r="Q192" s="198"/>
      <c r="R192" s="198"/>
      <c r="S192" s="198"/>
      <c r="T192" s="198"/>
      <c r="U192" s="198"/>
      <c r="V192" s="198"/>
      <c r="W192" s="198"/>
      <c r="X192" s="198"/>
      <c r="Y192" s="198"/>
      <c r="Z192" s="198"/>
    </row>
    <row r="193" spans="5:26" ht="22.8">
      <c r="E193" s="190"/>
      <c r="F193" s="191"/>
      <c r="G193" s="191" t="s">
        <v>455</v>
      </c>
      <c r="H193" s="191"/>
      <c r="I193" s="191"/>
      <c r="J193" s="191" t="s">
        <v>456</v>
      </c>
      <c r="K193" s="191"/>
      <c r="L193" s="190"/>
      <c r="M193" s="194"/>
      <c r="N193" s="194"/>
      <c r="O193" s="194"/>
      <c r="P193" s="198"/>
      <c r="Q193" s="198"/>
      <c r="R193" s="198"/>
      <c r="S193" s="198"/>
      <c r="T193" s="198"/>
      <c r="U193" s="198"/>
      <c r="V193" s="198"/>
      <c r="W193" s="198"/>
      <c r="X193" s="198"/>
      <c r="Y193" s="198"/>
      <c r="Z193" s="198"/>
    </row>
    <row r="194" spans="5:26" ht="22.8">
      <c r="E194" s="190"/>
      <c r="F194" s="191"/>
      <c r="G194" s="191" t="s">
        <v>457</v>
      </c>
      <c r="H194" s="191"/>
      <c r="I194" s="191"/>
      <c r="J194" s="191" t="s">
        <v>458</v>
      </c>
      <c r="K194" s="191"/>
      <c r="L194" s="190"/>
      <c r="M194" s="194"/>
      <c r="N194" s="194"/>
      <c r="O194" s="194"/>
      <c r="P194" s="198"/>
      <c r="Q194" s="198"/>
      <c r="R194" s="198"/>
      <c r="S194" s="198"/>
      <c r="T194" s="198"/>
      <c r="U194" s="198"/>
      <c r="V194" s="198"/>
      <c r="W194" s="198"/>
      <c r="X194" s="198"/>
      <c r="Y194" s="198"/>
      <c r="Z194" s="198"/>
    </row>
    <row r="195" spans="5:26" ht="22.8">
      <c r="E195" s="190">
        <v>11</v>
      </c>
      <c r="F195" s="191" t="s">
        <v>459</v>
      </c>
      <c r="G195" s="191" t="s">
        <v>460</v>
      </c>
      <c r="H195" s="191"/>
      <c r="I195" s="191"/>
      <c r="J195" s="191" t="s">
        <v>461</v>
      </c>
      <c r="K195" s="191"/>
      <c r="L195" s="190"/>
      <c r="M195" s="194"/>
      <c r="N195" s="194"/>
      <c r="O195" s="194"/>
      <c r="P195" s="198"/>
      <c r="Q195" s="198"/>
      <c r="R195" s="198"/>
      <c r="S195" s="198"/>
      <c r="T195" s="198"/>
      <c r="U195" s="198"/>
      <c r="V195" s="198"/>
      <c r="W195" s="198"/>
      <c r="X195" s="198"/>
      <c r="Y195" s="198"/>
      <c r="Z195" s="198"/>
    </row>
    <row r="196" spans="5:26" ht="34.200000000000003">
      <c r="E196" s="190"/>
      <c r="F196" s="191"/>
      <c r="G196" s="191" t="s">
        <v>462</v>
      </c>
      <c r="H196" s="191"/>
      <c r="I196" s="191"/>
      <c r="J196" s="191" t="s">
        <v>463</v>
      </c>
      <c r="K196" s="191"/>
      <c r="L196" s="190"/>
      <c r="M196" s="194"/>
      <c r="N196" s="194"/>
      <c r="O196" s="194"/>
      <c r="P196" s="198"/>
      <c r="Q196" s="198"/>
      <c r="R196" s="198"/>
      <c r="S196" s="198"/>
      <c r="T196" s="198"/>
      <c r="U196" s="198"/>
      <c r="V196" s="198"/>
      <c r="W196" s="198"/>
      <c r="X196" s="198"/>
      <c r="Y196" s="198"/>
      <c r="Z196" s="198"/>
    </row>
    <row r="197" spans="5:26">
      <c r="E197" s="190"/>
      <c r="F197" s="191"/>
      <c r="G197" s="191"/>
      <c r="H197" s="191"/>
      <c r="I197" s="191"/>
      <c r="J197" s="191"/>
      <c r="K197" s="195"/>
      <c r="L197" s="194"/>
      <c r="M197" s="194"/>
      <c r="N197" s="194"/>
      <c r="O197" s="194"/>
      <c r="P197" s="198"/>
      <c r="Q197" s="198"/>
      <c r="R197" s="198"/>
      <c r="S197" s="198"/>
      <c r="T197" s="198"/>
      <c r="U197" s="198"/>
      <c r="V197" s="198"/>
      <c r="W197" s="198"/>
      <c r="X197" s="198"/>
      <c r="Y197" s="198"/>
      <c r="Z197" s="198"/>
    </row>
    <row r="198" spans="5:26">
      <c r="E198" s="190"/>
      <c r="F198" s="191"/>
      <c r="G198" s="191"/>
      <c r="H198" s="191"/>
      <c r="I198" s="191"/>
      <c r="J198" s="191"/>
      <c r="K198" s="195"/>
      <c r="L198" s="194"/>
      <c r="M198" s="194"/>
      <c r="N198" s="194"/>
      <c r="O198" s="194"/>
      <c r="P198" s="198"/>
      <c r="Q198" s="198"/>
      <c r="R198" s="198"/>
      <c r="S198" s="198"/>
      <c r="T198" s="198"/>
      <c r="U198" s="198"/>
      <c r="V198" s="198"/>
      <c r="W198" s="198"/>
      <c r="X198" s="198"/>
      <c r="Y198" s="198"/>
      <c r="Z198" s="198"/>
    </row>
    <row r="199" spans="5:26">
      <c r="E199" s="197"/>
      <c r="F199" s="200" t="s">
        <v>46</v>
      </c>
      <c r="G199" s="197"/>
      <c r="H199" s="197"/>
      <c r="I199" s="197"/>
      <c r="J199" s="197"/>
      <c r="K199" s="197"/>
      <c r="L199" s="197"/>
      <c r="M199" s="197"/>
      <c r="N199" s="197"/>
      <c r="O199" s="197"/>
      <c r="P199" s="198"/>
      <c r="Q199" s="198"/>
      <c r="R199" s="198"/>
      <c r="S199" s="198"/>
      <c r="T199" s="198"/>
      <c r="U199" s="198"/>
      <c r="V199" s="198"/>
      <c r="W199" s="198"/>
      <c r="X199" s="198"/>
      <c r="Y199" s="198"/>
      <c r="Z199" s="198"/>
    </row>
  </sheetData>
  <sheetProtection formatCells="0" formatColumns="0" formatRows="0" insertRows="0" insertHyperlinks="0" deleteRows="0" sort="0" autoFilter="0" pivotTables="0"/>
  <mergeCells count="19">
    <mergeCell ref="H5:I6"/>
    <mergeCell ref="L5:O5"/>
    <mergeCell ref="L6:O6"/>
    <mergeCell ref="G2:I2"/>
    <mergeCell ref="L2:O2"/>
    <mergeCell ref="G3:I4"/>
    <mergeCell ref="L3:O3"/>
    <mergeCell ref="L4:O4"/>
    <mergeCell ref="G12:G13"/>
    <mergeCell ref="H7:I8"/>
    <mergeCell ref="L7:O7"/>
    <mergeCell ref="E11:F11"/>
    <mergeCell ref="H11:H13"/>
    <mergeCell ref="I11:I13"/>
    <mergeCell ref="J11:J13"/>
    <mergeCell ref="K11:K13"/>
    <mergeCell ref="L11:N11"/>
    <mergeCell ref="O11:O13"/>
    <mergeCell ref="E12:F12"/>
  </mergeCells>
  <hyperlinks>
    <hyperlink ref="I14" r:id="rId1" xr:uid="{00000000-0004-0000-0E00-000000000000}"/>
  </hyperlinks>
  <pageMargins left="0.7" right="0.7" top="0.75" bottom="0.75" header="0.3" footer="0.3"/>
  <pageSetup paperSize="9" orientation="portrait" r:id="rId2"/>
  <headerFooter>
    <oddHeader>&amp;L&amp;G</oddHeader>
    <oddFooter>&amp;LTemplate ID: TP_TE_TestCase_V.2.0.0
Copyright&amp;RFile Name: &amp;F
Page: &amp;P/&amp;N</oddFooter>
  </headerFooter>
  <drawing r:id="rId3"/>
  <legacyDrawing r:id="rId4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1537" r:id="rId6" name="Button 1">
              <controlPr defaultSize="0" print="0" autoFill="0" autoPict="0" macro="[0]!Home">
                <anchor moveWithCells="1" sizeWithCells="1">
                  <from>
                    <xdr:col>6</xdr:col>
                    <xdr:colOff>381000</xdr:colOff>
                    <xdr:row>8</xdr:row>
                    <xdr:rowOff>236220</xdr:rowOff>
                  </from>
                  <to>
                    <xdr:col>6</xdr:col>
                    <xdr:colOff>1219200</xdr:colOff>
                    <xdr:row>9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0DE16-64CD-439F-99DA-4A3217EA5747}">
  <sheetPr codeName="Sheet16"/>
  <dimension ref="A1:P22"/>
  <sheetViews>
    <sheetView showGridLines="0" topLeftCell="E16" workbookViewId="0">
      <selection activeCell="I18" sqref="I18"/>
    </sheetView>
  </sheetViews>
  <sheetFormatPr defaultColWidth="9.28515625" defaultRowHeight="11.4"/>
  <cols>
    <col min="1" max="1" width="11.85546875" style="10" hidden="1" customWidth="1"/>
    <col min="2" max="2" width="14.85546875" style="2" hidden="1" customWidth="1"/>
    <col min="3" max="3" width="17.28515625" style="2" hidden="1" customWidth="1"/>
    <col min="4" max="4" width="18.28515625" style="2" hidden="1" customWidth="1"/>
    <col min="5" max="5" width="8.42578125" style="2" customWidth="1"/>
    <col min="6" max="6" width="25.28515625" style="2" customWidth="1"/>
    <col min="7" max="7" width="39.85546875" style="2" customWidth="1"/>
    <col min="8" max="8" width="13.28515625" style="2" customWidth="1"/>
    <col min="9" max="9" width="18.42578125" style="2" customWidth="1"/>
    <col min="10" max="10" width="30.85546875" style="2" bestFit="1" customWidth="1"/>
    <col min="11" max="11" width="35.140625" style="2" customWidth="1"/>
    <col min="12" max="12" width="9.85546875" style="2" customWidth="1"/>
    <col min="13" max="13" width="9.42578125" style="2" customWidth="1"/>
    <col min="14" max="14" width="9.7109375" style="2" customWidth="1"/>
    <col min="15" max="15" width="14.28515625" style="2" customWidth="1"/>
    <col min="16" max="16" width="23.85546875" style="2" customWidth="1"/>
    <col min="17" max="16384" width="9.28515625" style="2"/>
  </cols>
  <sheetData>
    <row r="1" spans="1:16" ht="18.75" customHeight="1" thickBot="1">
      <c r="K1" s="1"/>
      <c r="L1" s="1"/>
      <c r="M1" s="1"/>
      <c r="N1" s="1"/>
    </row>
    <row r="2" spans="1:16" s="1" customFormat="1" ht="33" customHeight="1">
      <c r="A2" s="11"/>
      <c r="E2" s="32" t="s">
        <v>10</v>
      </c>
      <c r="F2" s="33"/>
      <c r="G2" s="491" t="s">
        <v>1039</v>
      </c>
      <c r="H2" s="492"/>
      <c r="I2" s="493"/>
      <c r="J2" s="7"/>
      <c r="K2" s="82" t="s">
        <v>22</v>
      </c>
      <c r="L2" s="470" t="s">
        <v>75</v>
      </c>
      <c r="M2" s="471"/>
      <c r="N2" s="471"/>
      <c r="O2" s="472"/>
    </row>
    <row r="3" spans="1:16" s="1" customFormat="1" ht="22.5" customHeight="1">
      <c r="A3" s="11"/>
      <c r="E3" s="34" t="s">
        <v>9</v>
      </c>
      <c r="F3" s="35"/>
      <c r="G3" s="480" t="str">
        <f>VLOOKUP(G2,'Test Case'!F13:G65515,2,TRUE)</f>
        <v>ทดสอบการบันทึกรายการสินค้า/บริการ (หน้าเลือกรายการ) ในกรณี Happy Flow</v>
      </c>
      <c r="H3" s="481"/>
      <c r="I3" s="482"/>
      <c r="J3" s="8"/>
      <c r="K3" s="36" t="s">
        <v>6</v>
      </c>
      <c r="L3" s="473" t="s">
        <v>74</v>
      </c>
      <c r="M3" s="474"/>
      <c r="N3" s="474"/>
      <c r="O3" s="475"/>
    </row>
    <row r="4" spans="1:16" s="1" customFormat="1" ht="23.25" customHeight="1" thickBot="1">
      <c r="A4" s="11"/>
      <c r="E4" s="34"/>
      <c r="F4" s="35"/>
      <c r="G4" s="483"/>
      <c r="H4" s="484"/>
      <c r="I4" s="485"/>
      <c r="J4" s="8"/>
      <c r="K4" s="36" t="s">
        <v>11</v>
      </c>
      <c r="L4" s="476" t="s">
        <v>69</v>
      </c>
      <c r="M4" s="477"/>
      <c r="N4" s="477"/>
      <c r="O4" s="478"/>
    </row>
    <row r="5" spans="1:16" s="1" customFormat="1" ht="22.5" customHeight="1">
      <c r="A5" s="11"/>
      <c r="E5" s="130"/>
      <c r="F5" s="131"/>
      <c r="G5" s="128"/>
      <c r="H5" s="494"/>
      <c r="I5" s="494"/>
      <c r="J5" s="5"/>
      <c r="K5" s="36" t="s">
        <v>4</v>
      </c>
      <c r="L5" s="476" t="s">
        <v>76</v>
      </c>
      <c r="M5" s="477"/>
      <c r="N5" s="477"/>
      <c r="O5" s="478"/>
    </row>
    <row r="6" spans="1:16" s="1" customFormat="1" ht="22.5" customHeight="1">
      <c r="A6" s="11"/>
      <c r="E6" s="130"/>
      <c r="F6" s="131"/>
      <c r="G6" s="129"/>
      <c r="H6" s="494"/>
      <c r="I6" s="494"/>
      <c r="J6" s="5"/>
      <c r="K6" s="36" t="s">
        <v>55</v>
      </c>
      <c r="L6" s="479">
        <v>43330</v>
      </c>
      <c r="M6" s="477"/>
      <c r="N6" s="477"/>
      <c r="O6" s="478"/>
    </row>
    <row r="7" spans="1:16" s="1" customFormat="1" ht="22.5" customHeight="1" thickBot="1">
      <c r="A7" s="11"/>
      <c r="E7" s="130"/>
      <c r="F7" s="131"/>
      <c r="G7" s="128"/>
      <c r="H7" s="506"/>
      <c r="I7" s="507"/>
      <c r="J7" s="5"/>
      <c r="K7" s="37" t="s">
        <v>54</v>
      </c>
      <c r="L7" s="510">
        <f>G11</f>
        <v>6</v>
      </c>
      <c r="M7" s="511"/>
      <c r="N7" s="511"/>
      <c r="O7" s="512"/>
    </row>
    <row r="8" spans="1:16" s="1" customFormat="1" ht="22.5" customHeight="1">
      <c r="A8" s="11"/>
      <c r="E8" s="130"/>
      <c r="F8" s="131"/>
      <c r="G8" s="129"/>
      <c r="H8" s="507"/>
      <c r="I8" s="507"/>
      <c r="J8" s="5"/>
      <c r="K8"/>
      <c r="N8" s="9"/>
    </row>
    <row r="9" spans="1:16" s="1" customFormat="1" ht="22.5" customHeight="1">
      <c r="A9" s="11"/>
      <c r="H9" s="2"/>
      <c r="I9" s="2"/>
      <c r="J9" s="5"/>
      <c r="K9"/>
      <c r="M9" s="2"/>
      <c r="N9" s="9"/>
    </row>
    <row r="10" spans="1:16" s="1" customFormat="1" ht="29.25" customHeight="1" thickBot="1">
      <c r="A10" s="11"/>
      <c r="J10" s="5"/>
      <c r="K10" s="2"/>
      <c r="L10" s="2"/>
      <c r="M10" s="4"/>
      <c r="N10" s="4"/>
      <c r="O10" s="4"/>
    </row>
    <row r="11" spans="1:16" s="1" customFormat="1" ht="29.25" customHeight="1">
      <c r="A11" s="89"/>
      <c r="B11" s="90"/>
      <c r="C11" s="90"/>
      <c r="D11" s="90"/>
      <c r="E11" s="508" t="s">
        <v>45</v>
      </c>
      <c r="F11" s="509"/>
      <c r="G11" s="93">
        <f>COUNTA(G14:G19)</f>
        <v>6</v>
      </c>
      <c r="H11" s="488" t="s">
        <v>51</v>
      </c>
      <c r="I11" s="488" t="s">
        <v>5</v>
      </c>
      <c r="J11" s="488" t="s">
        <v>3</v>
      </c>
      <c r="K11" s="498" t="s">
        <v>13</v>
      </c>
      <c r="L11" s="501" t="s">
        <v>48</v>
      </c>
      <c r="M11" s="502"/>
      <c r="N11" s="503"/>
      <c r="O11" s="495" t="s">
        <v>52</v>
      </c>
      <c r="P11" s="3"/>
    </row>
    <row r="12" spans="1:16" s="1" customFormat="1" ht="16.5" customHeight="1" thickBot="1">
      <c r="A12" s="91"/>
      <c r="B12" s="92" t="s">
        <v>154</v>
      </c>
      <c r="C12" s="92"/>
      <c r="D12" s="92"/>
      <c r="E12" s="504">
        <f>COUNTA(E14:E19)</f>
        <v>2</v>
      </c>
      <c r="F12" s="505"/>
      <c r="G12" s="486" t="s">
        <v>44</v>
      </c>
      <c r="H12" s="489"/>
      <c r="I12" s="489"/>
      <c r="J12" s="489"/>
      <c r="K12" s="499"/>
      <c r="L12" s="94">
        <f>COUNTA(L14:L19)</f>
        <v>0</v>
      </c>
      <c r="M12" s="95">
        <f>COUNTA(M14:M19)</f>
        <v>0</v>
      </c>
      <c r="N12" s="96">
        <f>COUNTA(N14:N19)</f>
        <v>0</v>
      </c>
      <c r="O12" s="496"/>
      <c r="P12" s="3"/>
    </row>
    <row r="13" spans="1:16" s="1" customFormat="1" ht="22.5" customHeight="1" thickBot="1">
      <c r="A13" s="23" t="s">
        <v>7</v>
      </c>
      <c r="B13" s="24" t="s">
        <v>18</v>
      </c>
      <c r="C13" s="25" t="s">
        <v>19</v>
      </c>
      <c r="D13" s="25" t="s">
        <v>17</v>
      </c>
      <c r="E13" s="97" t="s">
        <v>43</v>
      </c>
      <c r="F13" s="342" t="s">
        <v>12</v>
      </c>
      <c r="G13" s="487"/>
      <c r="H13" s="490"/>
      <c r="I13" s="490"/>
      <c r="J13" s="490"/>
      <c r="K13" s="500"/>
      <c r="L13" s="99" t="s">
        <v>42</v>
      </c>
      <c r="M13" s="100" t="s">
        <v>47</v>
      </c>
      <c r="N13" s="101" t="s">
        <v>53</v>
      </c>
      <c r="O13" s="497"/>
      <c r="P13" s="3"/>
    </row>
    <row r="14" spans="1:16" s="6" customFormat="1" ht="125.4">
      <c r="A14" s="13"/>
      <c r="B14" s="12"/>
      <c r="C14" s="12"/>
      <c r="D14" s="14"/>
      <c r="E14" s="424">
        <v>1</v>
      </c>
      <c r="F14" s="422" t="s">
        <v>1041</v>
      </c>
      <c r="G14" s="422" t="s">
        <v>1113</v>
      </c>
      <c r="H14" s="105" t="s">
        <v>20</v>
      </c>
      <c r="I14" s="438" t="s">
        <v>156</v>
      </c>
      <c r="J14" s="423" t="s">
        <v>1111</v>
      </c>
      <c r="K14" s="107"/>
      <c r="L14" s="108"/>
      <c r="M14" s="108"/>
      <c r="N14" s="108"/>
      <c r="O14" s="109"/>
    </row>
    <row r="15" spans="1:16" s="6" customFormat="1" ht="34.200000000000003">
      <c r="A15" s="13" t="e">
        <f>#REF!</f>
        <v>#REF!</v>
      </c>
      <c r="B15" s="12" t="e">
        <f>#REF!</f>
        <v>#REF!</v>
      </c>
      <c r="C15" s="12">
        <f t="shared" ref="C15:C21" si="0">$I$5</f>
        <v>0</v>
      </c>
      <c r="D15" s="14">
        <f t="shared" ref="D15:D21" si="1">$I$7</f>
        <v>0</v>
      </c>
      <c r="E15" s="425">
        <v>2</v>
      </c>
      <c r="F15" s="422" t="s">
        <v>1042</v>
      </c>
      <c r="G15" s="422" t="s">
        <v>1047</v>
      </c>
      <c r="H15" s="105" t="s">
        <v>20</v>
      </c>
      <c r="I15" s="106"/>
      <c r="J15" s="423" t="s">
        <v>1044</v>
      </c>
      <c r="K15" s="107"/>
      <c r="L15" s="108"/>
      <c r="M15" s="108"/>
      <c r="N15" s="108"/>
      <c r="O15" s="109"/>
    </row>
    <row r="16" spans="1:16" s="6" customFormat="1" ht="34.200000000000003">
      <c r="A16" s="13"/>
      <c r="B16" s="12"/>
      <c r="C16" s="12"/>
      <c r="D16" s="14"/>
      <c r="E16" s="110"/>
      <c r="F16" s="104"/>
      <c r="G16" s="422" t="s">
        <v>1048</v>
      </c>
      <c r="H16" s="105"/>
      <c r="I16" s="106"/>
      <c r="J16" s="423" t="s">
        <v>1043</v>
      </c>
      <c r="K16" s="107"/>
      <c r="L16" s="108"/>
      <c r="M16" s="108"/>
      <c r="N16" s="108"/>
      <c r="O16" s="109"/>
    </row>
    <row r="17" spans="1:15" s="6" customFormat="1" ht="34.200000000000003">
      <c r="A17" s="13" t="e">
        <f>#REF!</f>
        <v>#REF!</v>
      </c>
      <c r="B17" s="12" t="e">
        <f>#REF!</f>
        <v>#REF!</v>
      </c>
      <c r="C17" s="12">
        <f t="shared" si="0"/>
        <v>0</v>
      </c>
      <c r="D17" s="14">
        <f t="shared" si="1"/>
        <v>0</v>
      </c>
      <c r="E17" s="110"/>
      <c r="F17" s="104"/>
      <c r="G17" s="422" t="s">
        <v>1049</v>
      </c>
      <c r="H17" s="105" t="s">
        <v>20</v>
      </c>
      <c r="I17" s="106"/>
      <c r="J17" s="423" t="s">
        <v>1045</v>
      </c>
      <c r="K17" s="107"/>
      <c r="L17" s="108"/>
      <c r="M17" s="108"/>
      <c r="N17" s="108"/>
      <c r="O17" s="109"/>
    </row>
    <row r="18" spans="1:15" s="6" customFormat="1" ht="34.200000000000003">
      <c r="A18" s="13" t="e">
        <f>#REF!</f>
        <v>#REF!</v>
      </c>
      <c r="B18" s="12" t="e">
        <f>#REF!</f>
        <v>#REF!</v>
      </c>
      <c r="C18" s="12">
        <f t="shared" si="0"/>
        <v>0</v>
      </c>
      <c r="D18" s="14">
        <f t="shared" si="1"/>
        <v>0</v>
      </c>
      <c r="E18" s="110"/>
      <c r="F18" s="104"/>
      <c r="G18" s="422" t="s">
        <v>1050</v>
      </c>
      <c r="H18" s="105" t="s">
        <v>20</v>
      </c>
      <c r="I18" s="106"/>
      <c r="J18" s="423" t="s">
        <v>1046</v>
      </c>
      <c r="K18" s="107"/>
      <c r="L18" s="108"/>
      <c r="M18" s="108"/>
      <c r="N18" s="108"/>
      <c r="O18" s="109"/>
    </row>
    <row r="19" spans="1:15" s="6" customFormat="1" ht="34.200000000000003">
      <c r="A19" s="13" t="e">
        <f>#REF!</f>
        <v>#REF!</v>
      </c>
      <c r="B19" s="12" t="e">
        <f>#REF!</f>
        <v>#REF!</v>
      </c>
      <c r="C19" s="12">
        <f t="shared" si="0"/>
        <v>0</v>
      </c>
      <c r="D19" s="14">
        <f t="shared" si="1"/>
        <v>0</v>
      </c>
      <c r="E19" s="110"/>
      <c r="F19" s="104"/>
      <c r="G19" s="422" t="s">
        <v>1051</v>
      </c>
      <c r="H19" s="105" t="s">
        <v>20</v>
      </c>
      <c r="I19" s="106"/>
      <c r="J19" s="423" t="s">
        <v>1117</v>
      </c>
      <c r="K19" s="107"/>
      <c r="L19" s="108"/>
      <c r="M19" s="108"/>
      <c r="N19" s="108"/>
      <c r="O19" s="109"/>
    </row>
    <row r="20" spans="1:15" s="6" customFormat="1" ht="34.799999999999997" thickBot="1">
      <c r="A20" s="430"/>
      <c r="B20" s="431"/>
      <c r="C20" s="431"/>
      <c r="D20" s="432"/>
      <c r="E20" s="437"/>
      <c r="F20" s="437"/>
      <c r="G20" s="426" t="s">
        <v>1115</v>
      </c>
      <c r="H20" s="105"/>
      <c r="I20" s="106"/>
      <c r="J20" s="423" t="s">
        <v>106</v>
      </c>
      <c r="K20" s="107"/>
      <c r="L20" s="107"/>
      <c r="M20" s="107"/>
      <c r="N20" s="107"/>
      <c r="O20" s="109"/>
    </row>
    <row r="21" spans="1:15" s="6" customFormat="1" ht="27" customHeight="1" thickBot="1">
      <c r="A21" s="86" t="e">
        <f>#REF!</f>
        <v>#REF!</v>
      </c>
      <c r="B21" s="87" t="e">
        <f>#REF!</f>
        <v>#REF!</v>
      </c>
      <c r="C21" s="87">
        <f t="shared" si="0"/>
        <v>0</v>
      </c>
      <c r="D21" s="88">
        <f t="shared" si="1"/>
        <v>0</v>
      </c>
      <c r="E21" s="433"/>
      <c r="F21" s="434" t="s">
        <v>46</v>
      </c>
      <c r="G21" s="435"/>
      <c r="H21" s="435"/>
      <c r="I21" s="435"/>
      <c r="J21" s="436"/>
      <c r="K21" s="436"/>
      <c r="L21" s="435"/>
      <c r="M21" s="435"/>
      <c r="N21" s="435"/>
      <c r="O21" s="435"/>
    </row>
    <row r="22" spans="1:15" ht="22.5" customHeight="1"/>
  </sheetData>
  <sheetProtection formatCells="0" formatColumns="0" formatRows="0" insertRows="0" insertHyperlinks="0" deleteRows="0" sort="0" autoFilter="0" pivotTables="0"/>
  <mergeCells count="19">
    <mergeCell ref="H5:I6"/>
    <mergeCell ref="L5:O5"/>
    <mergeCell ref="L6:O6"/>
    <mergeCell ref="G2:I2"/>
    <mergeCell ref="L2:O2"/>
    <mergeCell ref="G3:I4"/>
    <mergeCell ref="L3:O3"/>
    <mergeCell ref="L4:O4"/>
    <mergeCell ref="G12:G13"/>
    <mergeCell ref="H7:I8"/>
    <mergeCell ref="L7:O7"/>
    <mergeCell ref="E11:F11"/>
    <mergeCell ref="H11:H13"/>
    <mergeCell ref="I11:I13"/>
    <mergeCell ref="J11:J13"/>
    <mergeCell ref="K11:K13"/>
    <mergeCell ref="L11:N11"/>
    <mergeCell ref="O11:O13"/>
    <mergeCell ref="E12:F12"/>
  </mergeCells>
  <dataValidations count="1">
    <dataValidation type="list" allowBlank="1" showInputMessage="1" showErrorMessage="1" sqref="O14:O20" xr:uid="{25655A62-AE8F-46FB-AEDD-B163567A2D93}">
      <formula1>"Pass,Failed"</formula1>
    </dataValidation>
  </dataValidations>
  <hyperlinks>
    <hyperlink ref="I14" r:id="rId1" xr:uid="{D7C56B98-0E3A-40A2-90BA-5823D65C8B38}"/>
  </hyperlinks>
  <pageMargins left="0.7" right="0.7" top="0.75" bottom="0.75" header="0.3" footer="0.3"/>
  <pageSetup paperSize="9" orientation="portrait" r:id="rId2"/>
  <headerFooter>
    <oddHeader>&amp;L&amp;G</oddHeader>
    <oddFooter>&amp;LTemplate ID: TP_TE_TestCase_V.2.0.0
Copyright&amp;RFile Name: &amp;F
Page: &amp;P/&amp;N</oddFooter>
  </headerFooter>
  <drawing r:id="rId3"/>
  <legacyDrawing r:id="rId4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8705" r:id="rId6" name="Button 1">
              <controlPr defaultSize="0" print="0" autoFill="0" autoPict="0" macro="[0]!Home">
                <anchor moveWithCells="1" sizeWithCells="1">
                  <from>
                    <xdr:col>6</xdr:col>
                    <xdr:colOff>381000</xdr:colOff>
                    <xdr:row>8</xdr:row>
                    <xdr:rowOff>236220</xdr:rowOff>
                  </from>
                  <to>
                    <xdr:col>6</xdr:col>
                    <xdr:colOff>1219200</xdr:colOff>
                    <xdr:row>9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268EE-06D4-41B0-BD6D-C2E210A5F447}">
  <sheetPr codeName="Sheet17">
    <tabColor rgb="FFFF0000"/>
  </sheetPr>
  <dimension ref="A1:P45"/>
  <sheetViews>
    <sheetView showGridLines="0" topLeftCell="E25" workbookViewId="0">
      <selection activeCell="E18" sqref="A18:XFD18"/>
    </sheetView>
  </sheetViews>
  <sheetFormatPr defaultColWidth="9.28515625" defaultRowHeight="11.4"/>
  <cols>
    <col min="1" max="1" width="11.85546875" style="10" hidden="1" customWidth="1"/>
    <col min="2" max="2" width="14.85546875" style="2" hidden="1" customWidth="1"/>
    <col min="3" max="3" width="17.28515625" style="2" hidden="1" customWidth="1"/>
    <col min="4" max="4" width="18.28515625" style="2" hidden="1" customWidth="1"/>
    <col min="5" max="5" width="8.42578125" style="2" customWidth="1"/>
    <col min="6" max="6" width="25.28515625" style="2" customWidth="1"/>
    <col min="7" max="7" width="39.85546875" style="2" customWidth="1"/>
    <col min="8" max="8" width="13.28515625" style="2" customWidth="1"/>
    <col min="9" max="9" width="18.42578125" style="2" customWidth="1"/>
    <col min="10" max="10" width="23.7109375" style="2" customWidth="1"/>
    <col min="11" max="11" width="35.140625" style="2" customWidth="1"/>
    <col min="12" max="12" width="9.85546875" style="2" customWidth="1"/>
    <col min="13" max="13" width="9.42578125" style="2" customWidth="1"/>
    <col min="14" max="14" width="9.7109375" style="2" customWidth="1"/>
    <col min="15" max="15" width="14.28515625" style="2" customWidth="1"/>
    <col min="16" max="16" width="23.85546875" style="2" customWidth="1"/>
    <col min="17" max="16384" width="9.28515625" style="2"/>
  </cols>
  <sheetData>
    <row r="1" spans="1:16" ht="18.75" customHeight="1" thickBot="1">
      <c r="K1" s="1"/>
      <c r="L1" s="1"/>
      <c r="M1" s="1"/>
      <c r="N1" s="1"/>
    </row>
    <row r="2" spans="1:16" s="1" customFormat="1" ht="33" customHeight="1">
      <c r="A2" s="11"/>
      <c r="E2" s="32" t="s">
        <v>10</v>
      </c>
      <c r="F2" s="33"/>
      <c r="G2" s="491" t="s">
        <v>1040</v>
      </c>
      <c r="H2" s="492"/>
      <c r="I2" s="493"/>
      <c r="J2" s="7"/>
      <c r="K2" s="82" t="s">
        <v>22</v>
      </c>
      <c r="L2" s="470" t="s">
        <v>75</v>
      </c>
      <c r="M2" s="471"/>
      <c r="N2" s="471"/>
      <c r="O2" s="472"/>
    </row>
    <row r="3" spans="1:16" s="1" customFormat="1" ht="22.5" customHeight="1">
      <c r="A3" s="11"/>
      <c r="E3" s="34" t="s">
        <v>9</v>
      </c>
      <c r="F3" s="35"/>
      <c r="G3" s="480" t="str">
        <f>VLOOKUP(G2,'Test Case'!F13:G65515,2,TRUE)</f>
        <v>ทดสอบการบันทึกรายการสินค้า/บริการ (หน้าเลือกรายการ) ในกรณี หน้าเลือกรายการ Validate ข้อมูล</v>
      </c>
      <c r="H3" s="481"/>
      <c r="I3" s="482"/>
      <c r="J3" s="8"/>
      <c r="K3" s="36" t="s">
        <v>6</v>
      </c>
      <c r="L3" s="473" t="s">
        <v>74</v>
      </c>
      <c r="M3" s="474"/>
      <c r="N3" s="474"/>
      <c r="O3" s="475"/>
    </row>
    <row r="4" spans="1:16" s="1" customFormat="1" ht="23.25" customHeight="1" thickBot="1">
      <c r="A4" s="11"/>
      <c r="E4" s="34"/>
      <c r="F4" s="35"/>
      <c r="G4" s="483"/>
      <c r="H4" s="484"/>
      <c r="I4" s="485"/>
      <c r="J4" s="8"/>
      <c r="K4" s="36" t="s">
        <v>11</v>
      </c>
      <c r="L4" s="476" t="s">
        <v>69</v>
      </c>
      <c r="M4" s="477"/>
      <c r="N4" s="477"/>
      <c r="O4" s="478"/>
    </row>
    <row r="5" spans="1:16" s="1" customFormat="1" ht="22.5" customHeight="1">
      <c r="A5" s="11"/>
      <c r="E5" s="130"/>
      <c r="F5" s="131"/>
      <c r="G5" s="128"/>
      <c r="H5" s="494"/>
      <c r="I5" s="494"/>
      <c r="J5" s="5"/>
      <c r="K5" s="36" t="s">
        <v>4</v>
      </c>
      <c r="L5" s="476" t="s">
        <v>76</v>
      </c>
      <c r="M5" s="477"/>
      <c r="N5" s="477"/>
      <c r="O5" s="478"/>
    </row>
    <row r="6" spans="1:16" s="1" customFormat="1" ht="22.5" customHeight="1">
      <c r="A6" s="11"/>
      <c r="E6" s="130"/>
      <c r="F6" s="131"/>
      <c r="G6" s="129"/>
      <c r="H6" s="494"/>
      <c r="I6" s="494"/>
      <c r="J6" s="5"/>
      <c r="K6" s="36" t="s">
        <v>55</v>
      </c>
      <c r="L6" s="479">
        <v>43330</v>
      </c>
      <c r="M6" s="477"/>
      <c r="N6" s="477"/>
      <c r="O6" s="478"/>
    </row>
    <row r="7" spans="1:16" s="1" customFormat="1" ht="22.5" customHeight="1" thickBot="1">
      <c r="A7" s="11"/>
      <c r="E7" s="130"/>
      <c r="F7" s="131"/>
      <c r="G7" s="128"/>
      <c r="H7" s="506"/>
      <c r="I7" s="507"/>
      <c r="J7" s="5"/>
      <c r="K7" s="37" t="s">
        <v>54</v>
      </c>
      <c r="L7" s="510">
        <f>G11</f>
        <v>30</v>
      </c>
      <c r="M7" s="511"/>
      <c r="N7" s="511"/>
      <c r="O7" s="512"/>
    </row>
    <row r="8" spans="1:16" s="1" customFormat="1" ht="22.5" customHeight="1">
      <c r="A8" s="11"/>
      <c r="E8" s="130"/>
      <c r="F8" s="131"/>
      <c r="G8" s="129"/>
      <c r="H8" s="507"/>
      <c r="I8" s="507"/>
      <c r="J8" s="5"/>
      <c r="K8"/>
      <c r="N8" s="9"/>
    </row>
    <row r="9" spans="1:16" s="1" customFormat="1" ht="22.5" customHeight="1">
      <c r="A9" s="11"/>
      <c r="H9" s="2"/>
      <c r="I9" s="2"/>
      <c r="J9" s="5"/>
      <c r="K9"/>
      <c r="M9" s="2"/>
      <c r="N9" s="9"/>
    </row>
    <row r="10" spans="1:16" s="1" customFormat="1" ht="29.25" customHeight="1" thickBot="1">
      <c r="A10" s="11"/>
      <c r="J10" s="5"/>
      <c r="K10" s="2"/>
      <c r="L10" s="2"/>
      <c r="M10" s="4"/>
      <c r="N10" s="4"/>
      <c r="O10" s="4"/>
    </row>
    <row r="11" spans="1:16" s="1" customFormat="1" ht="29.25" customHeight="1">
      <c r="A11" s="89"/>
      <c r="B11" s="90"/>
      <c r="C11" s="90"/>
      <c r="D11" s="90"/>
      <c r="E11" s="508" t="s">
        <v>45</v>
      </c>
      <c r="F11" s="509"/>
      <c r="G11" s="93">
        <f>COUNTA(G14:G43)</f>
        <v>30</v>
      </c>
      <c r="H11" s="488" t="s">
        <v>51</v>
      </c>
      <c r="I11" s="488" t="s">
        <v>5</v>
      </c>
      <c r="J11" s="488" t="s">
        <v>3</v>
      </c>
      <c r="K11" s="498" t="s">
        <v>13</v>
      </c>
      <c r="L11" s="501" t="s">
        <v>48</v>
      </c>
      <c r="M11" s="502"/>
      <c r="N11" s="503"/>
      <c r="O11" s="495" t="s">
        <v>52</v>
      </c>
      <c r="P11" s="3"/>
    </row>
    <row r="12" spans="1:16" s="1" customFormat="1" ht="16.5" customHeight="1" thickBot="1">
      <c r="A12" s="91"/>
      <c r="B12" s="92" t="s">
        <v>1102</v>
      </c>
      <c r="C12" s="92"/>
      <c r="D12" s="92"/>
      <c r="E12" s="504">
        <f>COUNTA(E14:E43)</f>
        <v>6</v>
      </c>
      <c r="F12" s="505"/>
      <c r="G12" s="486" t="s">
        <v>44</v>
      </c>
      <c r="H12" s="489"/>
      <c r="I12" s="489"/>
      <c r="J12" s="489"/>
      <c r="K12" s="499"/>
      <c r="L12" s="94">
        <f>COUNTA(L14:L43)</f>
        <v>0</v>
      </c>
      <c r="M12" s="95">
        <f>COUNTA(M14:M43)</f>
        <v>0</v>
      </c>
      <c r="N12" s="96">
        <f>COUNTA(N14:N43)</f>
        <v>0</v>
      </c>
      <c r="O12" s="496"/>
      <c r="P12" s="3"/>
    </row>
    <row r="13" spans="1:16" s="1" customFormat="1" ht="22.5" customHeight="1" thickBot="1">
      <c r="A13" s="23" t="s">
        <v>7</v>
      </c>
      <c r="B13" s="24" t="s">
        <v>18</v>
      </c>
      <c r="C13" s="25" t="s">
        <v>19</v>
      </c>
      <c r="D13" s="25" t="s">
        <v>17</v>
      </c>
      <c r="E13" s="97" t="s">
        <v>43</v>
      </c>
      <c r="F13" s="429" t="s">
        <v>12</v>
      </c>
      <c r="G13" s="487"/>
      <c r="H13" s="490"/>
      <c r="I13" s="490"/>
      <c r="J13" s="490"/>
      <c r="K13" s="500"/>
      <c r="L13" s="99" t="s">
        <v>42</v>
      </c>
      <c r="M13" s="100" t="s">
        <v>47</v>
      </c>
      <c r="N13" s="101" t="s">
        <v>53</v>
      </c>
      <c r="O13" s="497"/>
      <c r="P13" s="3"/>
    </row>
    <row r="14" spans="1:16" s="6" customFormat="1" ht="136.80000000000001">
      <c r="A14" s="13"/>
      <c r="B14" s="12"/>
      <c r="C14" s="12"/>
      <c r="D14" s="14"/>
      <c r="E14" s="424">
        <v>1</v>
      </c>
      <c r="F14" s="422" t="s">
        <v>1041</v>
      </c>
      <c r="G14" s="422" t="s">
        <v>1113</v>
      </c>
      <c r="H14" s="105" t="s">
        <v>20</v>
      </c>
      <c r="I14" s="438" t="s">
        <v>156</v>
      </c>
      <c r="J14" s="423" t="s">
        <v>1111</v>
      </c>
      <c r="K14" s="107"/>
      <c r="L14" s="108"/>
      <c r="M14" s="108"/>
      <c r="N14" s="108"/>
      <c r="O14" s="109"/>
    </row>
    <row r="15" spans="1:16" s="6" customFormat="1" ht="45.6">
      <c r="A15" s="13" t="e">
        <f>#REF!</f>
        <v>#REF!</v>
      </c>
      <c r="B15" s="12" t="e">
        <f>#REF!</f>
        <v>#REF!</v>
      </c>
      <c r="C15" s="12">
        <f t="shared" ref="C15:C44" si="0">$I$5</f>
        <v>0</v>
      </c>
      <c r="D15" s="14">
        <f t="shared" ref="D15:D44" si="1">$I$7</f>
        <v>0</v>
      </c>
      <c r="E15" s="425">
        <v>2</v>
      </c>
      <c r="F15" s="422" t="s">
        <v>1118</v>
      </c>
      <c r="G15" s="422" t="s">
        <v>1145</v>
      </c>
      <c r="H15" s="105" t="s">
        <v>20</v>
      </c>
      <c r="I15" s="106"/>
      <c r="J15" s="106" t="s">
        <v>1119</v>
      </c>
      <c r="K15" s="107"/>
      <c r="L15" s="108"/>
      <c r="M15" s="108"/>
      <c r="N15" s="108"/>
      <c r="O15" s="109"/>
    </row>
    <row r="16" spans="1:16" s="6" customFormat="1" ht="68.400000000000006">
      <c r="A16" s="13"/>
      <c r="B16" s="12"/>
      <c r="C16" s="12"/>
      <c r="D16" s="14"/>
      <c r="E16" s="110"/>
      <c r="F16" s="104"/>
      <c r="G16" s="422" t="s">
        <v>1145</v>
      </c>
      <c r="H16" s="105"/>
      <c r="I16" s="106"/>
      <c r="J16" s="106" t="s">
        <v>1120</v>
      </c>
      <c r="K16" s="107"/>
      <c r="L16" s="108"/>
      <c r="M16" s="108"/>
      <c r="N16" s="108"/>
      <c r="O16" s="109"/>
    </row>
    <row r="17" spans="1:15" s="6" customFormat="1" ht="34.200000000000003">
      <c r="A17" s="13" t="e">
        <f>#REF!</f>
        <v>#REF!</v>
      </c>
      <c r="B17" s="12" t="e">
        <f>#REF!</f>
        <v>#REF!</v>
      </c>
      <c r="C17" s="12">
        <f t="shared" si="0"/>
        <v>0</v>
      </c>
      <c r="D17" s="14">
        <f t="shared" si="1"/>
        <v>0</v>
      </c>
      <c r="E17" s="110"/>
      <c r="F17" s="104"/>
      <c r="G17" s="422" t="s">
        <v>1121</v>
      </c>
      <c r="H17" s="105" t="s">
        <v>20</v>
      </c>
      <c r="I17" s="106"/>
      <c r="J17" s="423" t="s">
        <v>1122</v>
      </c>
      <c r="K17" s="107"/>
      <c r="L17" s="108"/>
      <c r="M17" s="108"/>
      <c r="N17" s="108"/>
      <c r="O17" s="109"/>
    </row>
    <row r="18" spans="1:15" s="6" customFormat="1" ht="45.6">
      <c r="A18" s="13" t="e">
        <f>#REF!</f>
        <v>#REF!</v>
      </c>
      <c r="B18" s="12" t="e">
        <f>#REF!</f>
        <v>#REF!</v>
      </c>
      <c r="C18" s="12">
        <f t="shared" si="0"/>
        <v>0</v>
      </c>
      <c r="D18" s="14">
        <f t="shared" si="1"/>
        <v>0</v>
      </c>
      <c r="E18" s="110"/>
      <c r="F18" s="104"/>
      <c r="G18" s="422" t="s">
        <v>1048</v>
      </c>
      <c r="H18" s="105" t="s">
        <v>20</v>
      </c>
      <c r="I18" s="106"/>
      <c r="J18" s="106" t="s">
        <v>1123</v>
      </c>
      <c r="K18" s="107"/>
      <c r="L18" s="108"/>
      <c r="M18" s="108"/>
      <c r="N18" s="108"/>
      <c r="O18" s="109"/>
    </row>
    <row r="19" spans="1:15" s="6" customFormat="1" ht="57">
      <c r="A19" s="13" t="e">
        <f>#REF!</f>
        <v>#REF!</v>
      </c>
      <c r="B19" s="12" t="e">
        <f>#REF!</f>
        <v>#REF!</v>
      </c>
      <c r="C19" s="12">
        <f t="shared" si="0"/>
        <v>0</v>
      </c>
      <c r="D19" s="14">
        <f t="shared" si="1"/>
        <v>0</v>
      </c>
      <c r="E19" s="110"/>
      <c r="F19" s="104"/>
      <c r="G19" s="422" t="s">
        <v>1048</v>
      </c>
      <c r="H19" s="105" t="s">
        <v>20</v>
      </c>
      <c r="I19" s="106"/>
      <c r="J19" s="106" t="s">
        <v>1124</v>
      </c>
      <c r="K19" s="107"/>
      <c r="L19" s="108"/>
      <c r="M19" s="108"/>
      <c r="N19" s="108"/>
      <c r="O19" s="109"/>
    </row>
    <row r="20" spans="1:15" s="6" customFormat="1" ht="34.200000000000003">
      <c r="A20" s="13" t="e">
        <f>#REF!</f>
        <v>#REF!</v>
      </c>
      <c r="B20" s="12" t="e">
        <f>#REF!</f>
        <v>#REF!</v>
      </c>
      <c r="C20" s="12">
        <f t="shared" si="0"/>
        <v>0</v>
      </c>
      <c r="D20" s="14">
        <f t="shared" si="1"/>
        <v>0</v>
      </c>
      <c r="E20" s="110"/>
      <c r="F20" s="104"/>
      <c r="G20" s="422" t="s">
        <v>1121</v>
      </c>
      <c r="H20" s="105" t="s">
        <v>20</v>
      </c>
      <c r="I20" s="106"/>
      <c r="J20" s="423" t="s">
        <v>1122</v>
      </c>
      <c r="K20" s="107"/>
      <c r="L20" s="108"/>
      <c r="M20" s="108"/>
      <c r="N20" s="108"/>
      <c r="O20" s="109"/>
    </row>
    <row r="21" spans="1:15" s="6" customFormat="1" ht="39" customHeight="1">
      <c r="A21" s="13"/>
      <c r="B21" s="12"/>
      <c r="C21" s="12"/>
      <c r="D21" s="14"/>
      <c r="E21" s="110"/>
      <c r="F21" s="104"/>
      <c r="G21" s="224" t="s">
        <v>1128</v>
      </c>
      <c r="H21" s="301"/>
      <c r="I21" s="226"/>
      <c r="J21" s="426" t="s">
        <v>1127</v>
      </c>
      <c r="K21" s="107"/>
      <c r="L21" s="108"/>
      <c r="M21" s="108"/>
      <c r="N21" s="108"/>
      <c r="O21" s="109"/>
    </row>
    <row r="22" spans="1:15" s="6" customFormat="1" ht="45.6">
      <c r="A22" s="13" t="e">
        <f>#REF!</f>
        <v>#REF!</v>
      </c>
      <c r="B22" s="12" t="e">
        <f>#REF!</f>
        <v>#REF!</v>
      </c>
      <c r="C22" s="12">
        <f t="shared" si="0"/>
        <v>0</v>
      </c>
      <c r="D22" s="14">
        <f t="shared" si="1"/>
        <v>0</v>
      </c>
      <c r="E22" s="110"/>
      <c r="F22" s="104"/>
      <c r="G22" s="422" t="s">
        <v>1125</v>
      </c>
      <c r="H22" s="105" t="s">
        <v>20</v>
      </c>
      <c r="I22" s="106"/>
      <c r="J22" s="423" t="s">
        <v>1126</v>
      </c>
      <c r="K22" s="107"/>
      <c r="L22" s="108"/>
      <c r="M22" s="108"/>
      <c r="N22" s="108"/>
      <c r="O22" s="109"/>
    </row>
    <row r="23" spans="1:15" s="6" customFormat="1" ht="45.6">
      <c r="A23" s="13" t="e">
        <f>#REF!</f>
        <v>#REF!</v>
      </c>
      <c r="B23" s="12" t="e">
        <f>#REF!</f>
        <v>#REF!</v>
      </c>
      <c r="C23" s="12">
        <f t="shared" si="0"/>
        <v>0</v>
      </c>
      <c r="D23" s="14">
        <f t="shared" si="1"/>
        <v>0</v>
      </c>
      <c r="E23" s="110"/>
      <c r="F23" s="104"/>
      <c r="G23" s="224" t="s">
        <v>1129</v>
      </c>
      <c r="H23" s="105" t="s">
        <v>20</v>
      </c>
      <c r="I23" s="106"/>
      <c r="J23" s="426" t="s">
        <v>1130</v>
      </c>
      <c r="K23" s="107"/>
      <c r="L23" s="108"/>
      <c r="M23" s="108"/>
      <c r="N23" s="108"/>
      <c r="O23" s="109"/>
    </row>
    <row r="24" spans="1:15" s="6" customFormat="1" ht="45.6">
      <c r="A24" s="13" t="e">
        <f>#REF!</f>
        <v>#REF!</v>
      </c>
      <c r="B24" s="12" t="e">
        <f>#REF!</f>
        <v>#REF!</v>
      </c>
      <c r="C24" s="12">
        <f t="shared" si="0"/>
        <v>0</v>
      </c>
      <c r="D24" s="14">
        <f t="shared" si="1"/>
        <v>0</v>
      </c>
      <c r="E24" s="110"/>
      <c r="F24" s="104"/>
      <c r="G24" s="422" t="s">
        <v>1131</v>
      </c>
      <c r="H24" s="301"/>
      <c r="I24" s="226"/>
      <c r="J24" s="423" t="s">
        <v>1132</v>
      </c>
      <c r="K24" s="107"/>
      <c r="L24" s="108"/>
      <c r="M24" s="108"/>
      <c r="N24" s="108"/>
      <c r="O24" s="109"/>
    </row>
    <row r="25" spans="1:15" s="6" customFormat="1" ht="45.6">
      <c r="A25" s="13" t="e">
        <f>#REF!</f>
        <v>#REF!</v>
      </c>
      <c r="B25" s="12" t="e">
        <f>#REF!</f>
        <v>#REF!</v>
      </c>
      <c r="C25" s="12">
        <f t="shared" si="0"/>
        <v>0</v>
      </c>
      <c r="D25" s="14">
        <f t="shared" si="1"/>
        <v>0</v>
      </c>
      <c r="E25" s="425">
        <v>3</v>
      </c>
      <c r="F25" s="422" t="s">
        <v>1133</v>
      </c>
      <c r="G25" s="422" t="s">
        <v>1146</v>
      </c>
      <c r="H25" s="105" t="s">
        <v>20</v>
      </c>
      <c r="I25" s="106"/>
      <c r="J25" s="426" t="s">
        <v>1135</v>
      </c>
      <c r="K25" s="107"/>
      <c r="L25" s="108"/>
      <c r="M25" s="108"/>
      <c r="N25" s="108"/>
      <c r="O25" s="109"/>
    </row>
    <row r="26" spans="1:15" s="6" customFormat="1" ht="22.8">
      <c r="A26" s="13"/>
      <c r="B26" s="12"/>
      <c r="C26" s="12"/>
      <c r="D26" s="14"/>
      <c r="E26" s="110"/>
      <c r="F26" s="422"/>
      <c r="G26" s="422" t="s">
        <v>1136</v>
      </c>
      <c r="H26" s="105"/>
      <c r="I26" s="106"/>
      <c r="J26" s="426" t="s">
        <v>1122</v>
      </c>
      <c r="K26" s="107"/>
      <c r="L26" s="108"/>
      <c r="M26" s="108"/>
      <c r="N26" s="108"/>
      <c r="O26" s="109"/>
    </row>
    <row r="27" spans="1:15" s="6" customFormat="1" ht="45.6">
      <c r="A27" s="13" t="e">
        <f>#REF!</f>
        <v>#REF!</v>
      </c>
      <c r="B27" s="12" t="e">
        <f>#REF!</f>
        <v>#REF!</v>
      </c>
      <c r="C27" s="12">
        <f t="shared" si="0"/>
        <v>0</v>
      </c>
      <c r="D27" s="14">
        <f t="shared" si="1"/>
        <v>0</v>
      </c>
      <c r="E27" s="110"/>
      <c r="F27" s="104"/>
      <c r="G27" s="422" t="s">
        <v>1137</v>
      </c>
      <c r="H27" s="105" t="s">
        <v>20</v>
      </c>
      <c r="I27" s="106"/>
      <c r="J27" s="426" t="s">
        <v>1134</v>
      </c>
      <c r="K27" s="107"/>
      <c r="L27" s="108"/>
      <c r="M27" s="108"/>
      <c r="N27" s="108"/>
      <c r="O27" s="109"/>
    </row>
    <row r="28" spans="1:15" s="6" customFormat="1" ht="27" customHeight="1">
      <c r="A28" s="13" t="e">
        <f>#REF!</f>
        <v>#REF!</v>
      </c>
      <c r="B28" s="12" t="e">
        <f>#REF!</f>
        <v>#REF!</v>
      </c>
      <c r="C28" s="12">
        <f t="shared" si="0"/>
        <v>0</v>
      </c>
      <c r="D28" s="14">
        <f t="shared" si="1"/>
        <v>0</v>
      </c>
      <c r="E28" s="110"/>
      <c r="F28" s="104"/>
      <c r="G28" s="422" t="s">
        <v>1136</v>
      </c>
      <c r="H28" s="105"/>
      <c r="I28" s="106"/>
      <c r="J28" s="426" t="s">
        <v>1122</v>
      </c>
      <c r="K28" s="107"/>
      <c r="L28" s="108"/>
      <c r="M28" s="108"/>
      <c r="N28" s="108"/>
      <c r="O28" s="109"/>
    </row>
    <row r="29" spans="1:15" s="6" customFormat="1" ht="57">
      <c r="A29" s="13" t="e">
        <f>#REF!</f>
        <v>#REF!</v>
      </c>
      <c r="B29" s="12" t="e">
        <f>#REF!</f>
        <v>#REF!</v>
      </c>
      <c r="C29" s="12">
        <f t="shared" si="0"/>
        <v>0</v>
      </c>
      <c r="D29" s="14">
        <f t="shared" si="1"/>
        <v>0</v>
      </c>
      <c r="E29" s="110"/>
      <c r="F29" s="104"/>
      <c r="G29" s="422" t="s">
        <v>1147</v>
      </c>
      <c r="H29" s="105" t="s">
        <v>20</v>
      </c>
      <c r="I29" s="106"/>
      <c r="J29" s="426" t="s">
        <v>1134</v>
      </c>
      <c r="K29" s="107"/>
      <c r="L29" s="108"/>
      <c r="M29" s="108"/>
      <c r="N29" s="108"/>
      <c r="O29" s="109"/>
    </row>
    <row r="30" spans="1:15" s="6" customFormat="1" ht="27" customHeight="1">
      <c r="A30" s="13" t="e">
        <f>#REF!</f>
        <v>#REF!</v>
      </c>
      <c r="B30" s="12" t="e">
        <f>#REF!</f>
        <v>#REF!</v>
      </c>
      <c r="C30" s="12">
        <f t="shared" si="0"/>
        <v>0</v>
      </c>
      <c r="D30" s="14">
        <f t="shared" si="1"/>
        <v>0</v>
      </c>
      <c r="E30" s="110"/>
      <c r="F30" s="104"/>
      <c r="G30" s="422" t="s">
        <v>1136</v>
      </c>
      <c r="H30" s="105" t="s">
        <v>20</v>
      </c>
      <c r="I30" s="106"/>
      <c r="J30" s="426" t="s">
        <v>1122</v>
      </c>
      <c r="K30" s="107"/>
      <c r="L30" s="108"/>
      <c r="M30" s="108"/>
      <c r="N30" s="108"/>
      <c r="O30" s="109"/>
    </row>
    <row r="31" spans="1:15" s="6" customFormat="1" ht="57">
      <c r="A31" s="13" t="e">
        <f>#REF!</f>
        <v>#REF!</v>
      </c>
      <c r="B31" s="12" t="e">
        <f>#REF!</f>
        <v>#REF!</v>
      </c>
      <c r="C31" s="12">
        <f t="shared" si="0"/>
        <v>0</v>
      </c>
      <c r="D31" s="14">
        <f t="shared" si="1"/>
        <v>0</v>
      </c>
      <c r="E31" s="110"/>
      <c r="F31" s="104"/>
      <c r="G31" s="422" t="s">
        <v>1138</v>
      </c>
      <c r="H31" s="105" t="s">
        <v>20</v>
      </c>
      <c r="I31" s="106"/>
      <c r="J31" s="426" t="s">
        <v>1134</v>
      </c>
      <c r="K31" s="107"/>
      <c r="L31" s="108"/>
      <c r="M31" s="108"/>
      <c r="N31" s="108"/>
      <c r="O31" s="109"/>
    </row>
    <row r="32" spans="1:15" s="6" customFormat="1" ht="27" customHeight="1">
      <c r="A32" s="13" t="e">
        <f>#REF!</f>
        <v>#REF!</v>
      </c>
      <c r="B32" s="12" t="e">
        <f>#REF!</f>
        <v>#REF!</v>
      </c>
      <c r="C32" s="12">
        <f t="shared" si="0"/>
        <v>0</v>
      </c>
      <c r="D32" s="14">
        <f t="shared" si="1"/>
        <v>0</v>
      </c>
      <c r="E32" s="110"/>
      <c r="F32" s="104"/>
      <c r="G32" s="422" t="s">
        <v>1136</v>
      </c>
      <c r="H32" s="105" t="s">
        <v>20</v>
      </c>
      <c r="I32" s="106"/>
      <c r="J32" s="426" t="s">
        <v>1122</v>
      </c>
      <c r="K32" s="107"/>
      <c r="L32" s="108"/>
      <c r="M32" s="108"/>
      <c r="N32" s="108"/>
      <c r="O32" s="109"/>
    </row>
    <row r="33" spans="1:15" s="6" customFormat="1" ht="49.2" customHeight="1">
      <c r="A33" s="13" t="e">
        <f>#REF!</f>
        <v>#REF!</v>
      </c>
      <c r="B33" s="12" t="e">
        <f>#REF!</f>
        <v>#REF!</v>
      </c>
      <c r="C33" s="12">
        <f t="shared" si="0"/>
        <v>0</v>
      </c>
      <c r="D33" s="14">
        <f t="shared" si="1"/>
        <v>0</v>
      </c>
      <c r="E33" s="110"/>
      <c r="F33" s="104"/>
      <c r="G33" s="422" t="s">
        <v>1148</v>
      </c>
      <c r="H33" s="105" t="s">
        <v>20</v>
      </c>
      <c r="I33" s="106"/>
      <c r="J33" s="426" t="s">
        <v>1139</v>
      </c>
      <c r="K33" s="107"/>
      <c r="L33" s="108"/>
      <c r="M33" s="108"/>
      <c r="N33" s="108"/>
      <c r="O33" s="109"/>
    </row>
    <row r="34" spans="1:15" s="6" customFormat="1" ht="57">
      <c r="A34" s="13" t="e">
        <f>#REF!</f>
        <v>#REF!</v>
      </c>
      <c r="B34" s="12" t="e">
        <f>#REF!</f>
        <v>#REF!</v>
      </c>
      <c r="C34" s="12">
        <f t="shared" si="0"/>
        <v>0</v>
      </c>
      <c r="D34" s="14">
        <f t="shared" si="1"/>
        <v>0</v>
      </c>
      <c r="E34" s="110"/>
      <c r="F34" s="104"/>
      <c r="G34" s="422" t="s">
        <v>1140</v>
      </c>
      <c r="H34" s="105" t="s">
        <v>20</v>
      </c>
      <c r="I34" s="106"/>
      <c r="J34" s="426" t="s">
        <v>1139</v>
      </c>
      <c r="K34" s="107"/>
      <c r="L34" s="108"/>
      <c r="M34" s="108"/>
      <c r="N34" s="108"/>
      <c r="O34" s="109"/>
    </row>
    <row r="35" spans="1:15" s="6" customFormat="1" ht="34.200000000000003">
      <c r="A35" s="13" t="e">
        <f>#REF!</f>
        <v>#REF!</v>
      </c>
      <c r="B35" s="12" t="e">
        <f>#REF!</f>
        <v>#REF!</v>
      </c>
      <c r="C35" s="12">
        <f t="shared" si="0"/>
        <v>0</v>
      </c>
      <c r="D35" s="14">
        <f t="shared" si="1"/>
        <v>0</v>
      </c>
      <c r="E35" s="425">
        <v>4</v>
      </c>
      <c r="F35" s="422" t="s">
        <v>1141</v>
      </c>
      <c r="G35" s="422" t="s">
        <v>1142</v>
      </c>
      <c r="H35" s="105" t="s">
        <v>20</v>
      </c>
      <c r="I35" s="106"/>
      <c r="J35" s="423" t="s">
        <v>1143</v>
      </c>
      <c r="K35" s="107"/>
      <c r="L35" s="108"/>
      <c r="M35" s="108"/>
      <c r="N35" s="108"/>
      <c r="O35" s="109"/>
    </row>
    <row r="36" spans="1:15" s="6" customFormat="1" ht="34.200000000000003">
      <c r="A36" s="13" t="e">
        <f>#REF!</f>
        <v>#REF!</v>
      </c>
      <c r="B36" s="12" t="e">
        <f>#REF!</f>
        <v>#REF!</v>
      </c>
      <c r="C36" s="12">
        <f t="shared" si="0"/>
        <v>0</v>
      </c>
      <c r="D36" s="14">
        <f t="shared" si="1"/>
        <v>0</v>
      </c>
      <c r="E36" s="110"/>
      <c r="F36" s="104"/>
      <c r="G36" s="103" t="s">
        <v>1049</v>
      </c>
      <c r="H36" s="105" t="s">
        <v>20</v>
      </c>
      <c r="I36" s="106"/>
      <c r="J36" s="423" t="s">
        <v>1126</v>
      </c>
      <c r="K36" s="107"/>
      <c r="L36" s="108"/>
      <c r="M36" s="108"/>
      <c r="N36" s="108"/>
      <c r="O36" s="109"/>
    </row>
    <row r="37" spans="1:15" s="6" customFormat="1" ht="34.200000000000003">
      <c r="A37" s="13" t="e">
        <f>#REF!</f>
        <v>#REF!</v>
      </c>
      <c r="B37" s="12" t="e">
        <f>#REF!</f>
        <v>#REF!</v>
      </c>
      <c r="C37" s="12">
        <f t="shared" si="0"/>
        <v>0</v>
      </c>
      <c r="D37" s="14">
        <f t="shared" si="1"/>
        <v>0</v>
      </c>
      <c r="E37" s="110"/>
      <c r="F37" s="104"/>
      <c r="G37" s="103" t="s">
        <v>1050</v>
      </c>
      <c r="H37" s="105" t="s">
        <v>20</v>
      </c>
      <c r="I37" s="106"/>
      <c r="J37" s="423" t="s">
        <v>1132</v>
      </c>
      <c r="K37" s="107"/>
      <c r="L37" s="108"/>
      <c r="M37" s="108"/>
      <c r="N37" s="108"/>
      <c r="O37" s="109"/>
    </row>
    <row r="38" spans="1:15" s="6" customFormat="1" ht="45.6">
      <c r="A38" s="13" t="e">
        <f>#REF!</f>
        <v>#REF!</v>
      </c>
      <c r="B38" s="12" t="e">
        <f>#REF!</f>
        <v>#REF!</v>
      </c>
      <c r="C38" s="12">
        <f t="shared" si="0"/>
        <v>0</v>
      </c>
      <c r="D38" s="14">
        <f t="shared" si="1"/>
        <v>0</v>
      </c>
      <c r="E38" s="110"/>
      <c r="F38" s="104"/>
      <c r="G38" s="422" t="s">
        <v>1144</v>
      </c>
      <c r="H38" s="105" t="s">
        <v>20</v>
      </c>
      <c r="I38" s="106"/>
      <c r="J38" s="423" t="s">
        <v>1117</v>
      </c>
      <c r="K38" s="107"/>
      <c r="L38" s="108"/>
      <c r="M38" s="108"/>
      <c r="N38" s="108"/>
      <c r="O38" s="109"/>
    </row>
    <row r="39" spans="1:15" s="6" customFormat="1" ht="45.6">
      <c r="A39" s="13" t="e">
        <f>#REF!</f>
        <v>#REF!</v>
      </c>
      <c r="B39" s="12" t="e">
        <f>#REF!</f>
        <v>#REF!</v>
      </c>
      <c r="C39" s="12">
        <f t="shared" si="0"/>
        <v>0</v>
      </c>
      <c r="D39" s="14">
        <f t="shared" si="1"/>
        <v>0</v>
      </c>
      <c r="E39" s="425">
        <v>5</v>
      </c>
      <c r="F39" s="422" t="s">
        <v>1151</v>
      </c>
      <c r="G39" s="422" t="s">
        <v>1149</v>
      </c>
      <c r="H39" s="105" t="s">
        <v>20</v>
      </c>
      <c r="I39" s="106"/>
      <c r="J39" s="423" t="s">
        <v>1150</v>
      </c>
      <c r="K39" s="107"/>
      <c r="L39" s="108"/>
      <c r="M39" s="108"/>
      <c r="N39" s="108"/>
      <c r="O39" s="109"/>
    </row>
    <row r="40" spans="1:15" s="6" customFormat="1" ht="57">
      <c r="A40" s="13" t="e">
        <f>#REF!</f>
        <v>#REF!</v>
      </c>
      <c r="B40" s="12" t="e">
        <f>#REF!</f>
        <v>#REF!</v>
      </c>
      <c r="C40" s="12">
        <f t="shared" si="0"/>
        <v>0</v>
      </c>
      <c r="D40" s="14">
        <f t="shared" si="1"/>
        <v>0</v>
      </c>
      <c r="E40" s="110"/>
      <c r="F40" s="104"/>
      <c r="G40" s="422" t="s">
        <v>1152</v>
      </c>
      <c r="H40" s="105" t="s">
        <v>20</v>
      </c>
      <c r="I40" s="106"/>
      <c r="J40" s="423" t="s">
        <v>1153</v>
      </c>
      <c r="K40" s="107"/>
      <c r="L40" s="108"/>
      <c r="M40" s="108"/>
      <c r="N40" s="108"/>
      <c r="O40" s="109"/>
    </row>
    <row r="41" spans="1:15" s="6" customFormat="1" ht="68.400000000000006">
      <c r="A41" s="13" t="e">
        <f>#REF!</f>
        <v>#REF!</v>
      </c>
      <c r="B41" s="12" t="e">
        <f>#REF!</f>
        <v>#REF!</v>
      </c>
      <c r="C41" s="12">
        <f t="shared" si="0"/>
        <v>0</v>
      </c>
      <c r="D41" s="14">
        <f t="shared" si="1"/>
        <v>0</v>
      </c>
      <c r="E41" s="110"/>
      <c r="F41" s="104"/>
      <c r="G41" s="422" t="s">
        <v>1154</v>
      </c>
      <c r="H41" s="105" t="s">
        <v>20</v>
      </c>
      <c r="I41" s="106"/>
      <c r="J41" s="423" t="s">
        <v>1153</v>
      </c>
      <c r="K41" s="107"/>
      <c r="L41" s="108"/>
      <c r="M41" s="108"/>
      <c r="N41" s="108"/>
      <c r="O41" s="109"/>
    </row>
    <row r="42" spans="1:15" s="6" customFormat="1" ht="27" customHeight="1">
      <c r="A42" s="13"/>
      <c r="B42" s="12"/>
      <c r="C42" s="12"/>
      <c r="D42" s="14"/>
      <c r="E42" s="425">
        <v>6</v>
      </c>
      <c r="F42" s="264" t="s">
        <v>459</v>
      </c>
      <c r="G42" s="264" t="s">
        <v>460</v>
      </c>
      <c r="H42" s="185"/>
      <c r="I42" s="265"/>
      <c r="J42" s="264" t="s">
        <v>461</v>
      </c>
      <c r="K42" s="264"/>
      <c r="L42" s="108"/>
      <c r="M42" s="108"/>
      <c r="N42" s="108"/>
      <c r="O42" s="109"/>
    </row>
    <row r="43" spans="1:15" s="6" customFormat="1" ht="34.799999999999997" thickBot="1">
      <c r="A43" s="13"/>
      <c r="B43" s="12"/>
      <c r="C43" s="12"/>
      <c r="D43" s="14"/>
      <c r="E43" s="110"/>
      <c r="F43" s="265"/>
      <c r="G43" s="264" t="s">
        <v>462</v>
      </c>
      <c r="H43" s="185"/>
      <c r="I43" s="265"/>
      <c r="J43" s="264" t="s">
        <v>463</v>
      </c>
      <c r="K43" s="264"/>
      <c r="L43" s="108"/>
      <c r="M43" s="108"/>
      <c r="N43" s="108"/>
      <c r="O43" s="109"/>
    </row>
    <row r="44" spans="1:15" s="6" customFormat="1" ht="27" customHeight="1" thickBot="1">
      <c r="A44" s="86" t="e">
        <f>#REF!</f>
        <v>#REF!</v>
      </c>
      <c r="B44" s="87" t="e">
        <f>#REF!</f>
        <v>#REF!</v>
      </c>
      <c r="C44" s="87">
        <f t="shared" si="0"/>
        <v>0</v>
      </c>
      <c r="D44" s="88">
        <f t="shared" si="1"/>
        <v>0</v>
      </c>
      <c r="E44" s="71"/>
      <c r="F44" s="73" t="s">
        <v>46</v>
      </c>
      <c r="G44" s="66"/>
      <c r="H44" s="66"/>
      <c r="I44" s="66"/>
      <c r="J44" s="72"/>
      <c r="K44" s="72"/>
      <c r="L44" s="66"/>
      <c r="M44" s="66"/>
      <c r="N44" s="66"/>
      <c r="O44" s="66"/>
    </row>
    <row r="45" spans="1:15" ht="22.5" customHeight="1"/>
  </sheetData>
  <sheetProtection formatCells="0" formatColumns="0" formatRows="0" insertRows="0" insertHyperlinks="0" deleteRows="0" sort="0" autoFilter="0" pivotTables="0"/>
  <mergeCells count="19">
    <mergeCell ref="H5:I6"/>
    <mergeCell ref="L5:O5"/>
    <mergeCell ref="L6:O6"/>
    <mergeCell ref="G2:I2"/>
    <mergeCell ref="L2:O2"/>
    <mergeCell ref="G3:I4"/>
    <mergeCell ref="L3:O3"/>
    <mergeCell ref="L4:O4"/>
    <mergeCell ref="G12:G13"/>
    <mergeCell ref="H7:I8"/>
    <mergeCell ref="L7:O7"/>
    <mergeCell ref="E11:F11"/>
    <mergeCell ref="H11:H13"/>
    <mergeCell ref="I11:I13"/>
    <mergeCell ref="J11:J13"/>
    <mergeCell ref="K11:K13"/>
    <mergeCell ref="L11:N11"/>
    <mergeCell ref="O11:O13"/>
    <mergeCell ref="E12:F12"/>
  </mergeCells>
  <dataValidations count="1">
    <dataValidation type="list" allowBlank="1" showInputMessage="1" showErrorMessage="1" sqref="O14:O40" xr:uid="{31D7F037-C9BC-40C2-8E9D-D10CABA31246}">
      <formula1>"Pass,Failed"</formula1>
    </dataValidation>
  </dataValidations>
  <hyperlinks>
    <hyperlink ref="I14" r:id="rId1" xr:uid="{7BAB8AC6-E653-4CDF-8C4F-C8D3CC71DE78}"/>
  </hyperlinks>
  <pageMargins left="0.7" right="0.7" top="0.75" bottom="0.75" header="0.3" footer="0.3"/>
  <pageSetup paperSize="9" orientation="portrait" r:id="rId2"/>
  <headerFooter>
    <oddHeader>&amp;L&amp;G</oddHeader>
    <oddFooter>&amp;LTemplate ID: TP_TE_TestCase_V.2.0.0
Copyright&amp;RFile Name: &amp;F
Page: &amp;P/&amp;N</oddFooter>
  </headerFooter>
  <drawing r:id="rId3"/>
  <legacyDrawing r:id="rId4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3825" r:id="rId6" name="Button 1">
              <controlPr defaultSize="0" print="0" autoFill="0" autoPict="0" macro="[0]!Home">
                <anchor moveWithCells="1" sizeWithCells="1">
                  <from>
                    <xdr:col>6</xdr:col>
                    <xdr:colOff>381000</xdr:colOff>
                    <xdr:row>8</xdr:row>
                    <xdr:rowOff>236220</xdr:rowOff>
                  </from>
                  <to>
                    <xdr:col>6</xdr:col>
                    <xdr:colOff>1219200</xdr:colOff>
                    <xdr:row>9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103C5A-5BD2-4377-8457-2ABBADE6494A}">
  <sheetPr codeName="Sheet18"/>
  <dimension ref="A1:P43"/>
  <sheetViews>
    <sheetView showGridLines="0" topLeftCell="E15" workbookViewId="0">
      <selection activeCell="G16" sqref="G16"/>
    </sheetView>
  </sheetViews>
  <sheetFormatPr defaultColWidth="9.28515625" defaultRowHeight="11.4"/>
  <cols>
    <col min="1" max="1" width="11.85546875" style="10" hidden="1" customWidth="1"/>
    <col min="2" max="2" width="14.85546875" style="2" hidden="1" customWidth="1"/>
    <col min="3" max="3" width="17.28515625" style="2" hidden="1" customWidth="1"/>
    <col min="4" max="4" width="18.28515625" style="2" hidden="1" customWidth="1"/>
    <col min="5" max="5" width="8.42578125" style="2" customWidth="1"/>
    <col min="6" max="6" width="25.28515625" style="2" customWidth="1"/>
    <col min="7" max="7" width="39.85546875" style="2" customWidth="1"/>
    <col min="8" max="8" width="13.28515625" style="2" customWidth="1"/>
    <col min="9" max="9" width="18.42578125" style="2" customWidth="1"/>
    <col min="10" max="10" width="23.7109375" style="2" customWidth="1"/>
    <col min="11" max="11" width="35.140625" style="2" customWidth="1"/>
    <col min="12" max="12" width="9.85546875" style="2" customWidth="1"/>
    <col min="13" max="13" width="9.42578125" style="2" customWidth="1"/>
    <col min="14" max="14" width="9.7109375" style="2" customWidth="1"/>
    <col min="15" max="15" width="14.28515625" style="2" customWidth="1"/>
    <col min="16" max="16" width="23.85546875" style="2" customWidth="1"/>
    <col min="17" max="16384" width="9.28515625" style="2"/>
  </cols>
  <sheetData>
    <row r="1" spans="1:16" ht="18.75" customHeight="1" thickBot="1">
      <c r="K1" s="1"/>
      <c r="L1" s="1"/>
      <c r="M1" s="1"/>
      <c r="N1" s="1"/>
    </row>
    <row r="2" spans="1:16" s="1" customFormat="1" ht="33" customHeight="1">
      <c r="A2" s="11"/>
      <c r="E2" s="32" t="s">
        <v>10</v>
      </c>
      <c r="F2" s="33"/>
      <c r="G2" s="491" t="s">
        <v>1103</v>
      </c>
      <c r="H2" s="492"/>
      <c r="I2" s="493"/>
      <c r="J2" s="7"/>
      <c r="K2" s="82" t="s">
        <v>22</v>
      </c>
      <c r="L2" s="470" t="s">
        <v>75</v>
      </c>
      <c r="M2" s="471"/>
      <c r="N2" s="471"/>
      <c r="O2" s="472"/>
    </row>
    <row r="3" spans="1:16" s="1" customFormat="1" ht="22.5" customHeight="1">
      <c r="A3" s="11"/>
      <c r="E3" s="34" t="s">
        <v>9</v>
      </c>
      <c r="F3" s="35"/>
      <c r="G3" s="480" t="str">
        <f>VLOOKUP(G2,'Test Case'!F13:G65515,2,TRUE)</f>
        <v>ทดสอบการบันทึกรายการสินค้า/บริการในกรณี (หน้าบันทึกรายการ) Happy Flow</v>
      </c>
      <c r="H3" s="481"/>
      <c r="I3" s="482"/>
      <c r="J3" s="8"/>
      <c r="K3" s="36" t="s">
        <v>6</v>
      </c>
      <c r="L3" s="473" t="s">
        <v>74</v>
      </c>
      <c r="M3" s="474"/>
      <c r="N3" s="474"/>
      <c r="O3" s="475"/>
    </row>
    <row r="4" spans="1:16" s="1" customFormat="1" ht="23.25" customHeight="1" thickBot="1">
      <c r="A4" s="11"/>
      <c r="E4" s="34"/>
      <c r="F4" s="35"/>
      <c r="G4" s="483"/>
      <c r="H4" s="484"/>
      <c r="I4" s="485"/>
      <c r="J4" s="8"/>
      <c r="K4" s="36" t="s">
        <v>11</v>
      </c>
      <c r="L4" s="476" t="s">
        <v>69</v>
      </c>
      <c r="M4" s="477"/>
      <c r="N4" s="477"/>
      <c r="O4" s="478"/>
    </row>
    <row r="5" spans="1:16" s="1" customFormat="1" ht="22.5" customHeight="1">
      <c r="A5" s="11"/>
      <c r="E5" s="130"/>
      <c r="F5" s="131"/>
      <c r="G5" s="128"/>
      <c r="H5" s="494"/>
      <c r="I5" s="494"/>
      <c r="J5" s="5"/>
      <c r="K5" s="36" t="s">
        <v>4</v>
      </c>
      <c r="L5" s="476" t="s">
        <v>76</v>
      </c>
      <c r="M5" s="477"/>
      <c r="N5" s="477"/>
      <c r="O5" s="478"/>
    </row>
    <row r="6" spans="1:16" s="1" customFormat="1" ht="22.5" customHeight="1">
      <c r="A6" s="11"/>
      <c r="E6" s="130"/>
      <c r="F6" s="131"/>
      <c r="G6" s="129"/>
      <c r="H6" s="494"/>
      <c r="I6" s="494"/>
      <c r="J6" s="5"/>
      <c r="K6" s="36" t="s">
        <v>55</v>
      </c>
      <c r="L6" s="479">
        <v>43330</v>
      </c>
      <c r="M6" s="477"/>
      <c r="N6" s="477"/>
      <c r="O6" s="478"/>
    </row>
    <row r="7" spans="1:16" s="1" customFormat="1" ht="22.5" customHeight="1" thickBot="1">
      <c r="A7" s="11"/>
      <c r="E7" s="130"/>
      <c r="F7" s="131"/>
      <c r="G7" s="128"/>
      <c r="H7" s="506"/>
      <c r="I7" s="507"/>
      <c r="J7" s="5"/>
      <c r="K7" s="37" t="s">
        <v>54</v>
      </c>
      <c r="L7" s="510">
        <f>G11</f>
        <v>28</v>
      </c>
      <c r="M7" s="511"/>
      <c r="N7" s="511"/>
      <c r="O7" s="512"/>
    </row>
    <row r="8" spans="1:16" s="1" customFormat="1" ht="22.5" customHeight="1">
      <c r="A8" s="11"/>
      <c r="E8" s="130"/>
      <c r="F8" s="131"/>
      <c r="G8" s="129"/>
      <c r="H8" s="507"/>
      <c r="I8" s="507"/>
      <c r="J8" s="5"/>
      <c r="K8"/>
      <c r="N8" s="9"/>
    </row>
    <row r="9" spans="1:16" s="1" customFormat="1" ht="22.5" customHeight="1">
      <c r="A9" s="11"/>
      <c r="H9" s="2"/>
      <c r="I9" s="2"/>
      <c r="J9" s="5"/>
      <c r="K9"/>
      <c r="M9" s="2"/>
      <c r="N9" s="9"/>
    </row>
    <row r="10" spans="1:16" s="1" customFormat="1" ht="29.25" customHeight="1" thickBot="1">
      <c r="A10" s="11"/>
      <c r="J10" s="5"/>
      <c r="K10" s="2"/>
      <c r="L10" s="2"/>
      <c r="M10" s="4"/>
      <c r="N10" s="4"/>
      <c r="O10" s="4"/>
    </row>
    <row r="11" spans="1:16" s="1" customFormat="1" ht="29.25" customHeight="1">
      <c r="A11" s="89"/>
      <c r="B11" s="90"/>
      <c r="C11" s="90"/>
      <c r="D11" s="90"/>
      <c r="E11" s="508" t="s">
        <v>45</v>
      </c>
      <c r="F11" s="509"/>
      <c r="G11" s="93">
        <f>COUNTA(G14:G41)</f>
        <v>28</v>
      </c>
      <c r="H11" s="488" t="s">
        <v>51</v>
      </c>
      <c r="I11" s="488" t="s">
        <v>5</v>
      </c>
      <c r="J11" s="488" t="s">
        <v>3</v>
      </c>
      <c r="K11" s="498" t="s">
        <v>13</v>
      </c>
      <c r="L11" s="501" t="s">
        <v>48</v>
      </c>
      <c r="M11" s="502"/>
      <c r="N11" s="503"/>
      <c r="O11" s="495" t="s">
        <v>52</v>
      </c>
      <c r="P11" s="3"/>
    </row>
    <row r="12" spans="1:16" s="1" customFormat="1" ht="16.5" customHeight="1" thickBot="1">
      <c r="A12" s="91"/>
      <c r="B12" s="92" t="s">
        <v>154</v>
      </c>
      <c r="C12" s="92"/>
      <c r="D12" s="92"/>
      <c r="E12" s="504">
        <f>COUNTA(E14:E41)</f>
        <v>9</v>
      </c>
      <c r="F12" s="505"/>
      <c r="G12" s="486" t="s">
        <v>44</v>
      </c>
      <c r="H12" s="489"/>
      <c r="I12" s="489"/>
      <c r="J12" s="489"/>
      <c r="K12" s="499"/>
      <c r="L12" s="94">
        <f>COUNTA(L14:L41)</f>
        <v>0</v>
      </c>
      <c r="M12" s="95">
        <f>COUNTA(M14:M41)</f>
        <v>0</v>
      </c>
      <c r="N12" s="96">
        <f>COUNTA(N14:N41)</f>
        <v>0</v>
      </c>
      <c r="O12" s="496"/>
      <c r="P12" s="3"/>
    </row>
    <row r="13" spans="1:16" s="1" customFormat="1" ht="22.5" customHeight="1" thickBot="1">
      <c r="A13" s="23" t="s">
        <v>7</v>
      </c>
      <c r="B13" s="24" t="s">
        <v>18</v>
      </c>
      <c r="C13" s="25" t="s">
        <v>19</v>
      </c>
      <c r="D13" s="25" t="s">
        <v>17</v>
      </c>
      <c r="E13" s="97" t="s">
        <v>43</v>
      </c>
      <c r="F13" s="429" t="s">
        <v>12</v>
      </c>
      <c r="G13" s="487"/>
      <c r="H13" s="490"/>
      <c r="I13" s="490"/>
      <c r="J13" s="490"/>
      <c r="K13" s="500"/>
      <c r="L13" s="99" t="s">
        <v>42</v>
      </c>
      <c r="M13" s="100" t="s">
        <v>47</v>
      </c>
      <c r="N13" s="101" t="s">
        <v>53</v>
      </c>
      <c r="O13" s="497"/>
      <c r="P13" s="3"/>
    </row>
    <row r="14" spans="1:16" s="6" customFormat="1" ht="376.2">
      <c r="A14" s="13"/>
      <c r="B14" s="12"/>
      <c r="C14" s="12"/>
      <c r="D14" s="14"/>
      <c r="E14" s="424">
        <v>1</v>
      </c>
      <c r="F14" s="422" t="s">
        <v>1041</v>
      </c>
      <c r="G14" s="422" t="s">
        <v>1112</v>
      </c>
      <c r="H14" s="105" t="s">
        <v>20</v>
      </c>
      <c r="I14" s="106"/>
      <c r="J14" s="423" t="s">
        <v>1110</v>
      </c>
      <c r="K14" s="107"/>
      <c r="L14" s="108"/>
      <c r="M14" s="108"/>
      <c r="N14" s="108"/>
      <c r="O14" s="109"/>
    </row>
    <row r="15" spans="1:16" s="6" customFormat="1" ht="34.200000000000003">
      <c r="A15" s="13" t="e">
        <f>#REF!</f>
        <v>#REF!</v>
      </c>
      <c r="B15" s="12" t="e">
        <f>#REF!</f>
        <v>#REF!</v>
      </c>
      <c r="C15" s="12">
        <f t="shared" ref="C15:C42" si="0">$I$5</f>
        <v>0</v>
      </c>
      <c r="D15" s="14">
        <f t="shared" ref="D15:D42" si="1">$I$7</f>
        <v>0</v>
      </c>
      <c r="E15" s="425">
        <v>2</v>
      </c>
      <c r="F15" s="422" t="s">
        <v>1116</v>
      </c>
      <c r="G15" s="422" t="s">
        <v>1165</v>
      </c>
      <c r="H15" s="105" t="s">
        <v>20</v>
      </c>
      <c r="I15" s="106"/>
      <c r="J15" s="423" t="s">
        <v>1054</v>
      </c>
      <c r="K15" s="107"/>
      <c r="L15" s="108"/>
      <c r="M15" s="108"/>
      <c r="N15" s="108"/>
      <c r="O15" s="109"/>
    </row>
    <row r="16" spans="1:16" s="6" customFormat="1" ht="34.200000000000003">
      <c r="A16" s="13"/>
      <c r="B16" s="12"/>
      <c r="C16" s="12"/>
      <c r="D16" s="14"/>
      <c r="E16" s="425">
        <v>3</v>
      </c>
      <c r="F16" s="422" t="s">
        <v>1114</v>
      </c>
      <c r="G16" s="422" t="s">
        <v>1055</v>
      </c>
      <c r="H16" s="105" t="s">
        <v>20</v>
      </c>
      <c r="I16" s="106"/>
      <c r="J16" s="423" t="s">
        <v>1060</v>
      </c>
      <c r="K16" s="107"/>
      <c r="L16" s="108"/>
      <c r="M16" s="108"/>
      <c r="N16" s="108"/>
      <c r="O16" s="109"/>
    </row>
    <row r="17" spans="1:15" s="6" customFormat="1" ht="34.200000000000003">
      <c r="A17" s="13" t="e">
        <f>#REF!</f>
        <v>#REF!</v>
      </c>
      <c r="B17" s="12" t="e">
        <f>#REF!</f>
        <v>#REF!</v>
      </c>
      <c r="C17" s="12">
        <f t="shared" si="0"/>
        <v>0</v>
      </c>
      <c r="D17" s="14">
        <f t="shared" si="1"/>
        <v>0</v>
      </c>
      <c r="E17" s="110"/>
      <c r="F17" s="104"/>
      <c r="G17" s="422" t="s">
        <v>1056</v>
      </c>
      <c r="H17" s="105" t="s">
        <v>20</v>
      </c>
      <c r="I17" s="106"/>
      <c r="J17" s="423" t="s">
        <v>1059</v>
      </c>
      <c r="K17" s="107"/>
      <c r="L17" s="108"/>
      <c r="M17" s="108"/>
      <c r="N17" s="108"/>
      <c r="O17" s="109"/>
    </row>
    <row r="18" spans="1:15" s="6" customFormat="1" ht="34.200000000000003">
      <c r="A18" s="13" t="e">
        <f>#REF!</f>
        <v>#REF!</v>
      </c>
      <c r="B18" s="12" t="e">
        <f>#REF!</f>
        <v>#REF!</v>
      </c>
      <c r="C18" s="12">
        <f t="shared" si="0"/>
        <v>0</v>
      </c>
      <c r="D18" s="14">
        <f t="shared" si="1"/>
        <v>0</v>
      </c>
      <c r="E18" s="110"/>
      <c r="F18" s="104"/>
      <c r="G18" s="422" t="s">
        <v>1057</v>
      </c>
      <c r="H18" s="105" t="s">
        <v>20</v>
      </c>
      <c r="I18" s="106"/>
      <c r="J18" s="423" t="s">
        <v>1058</v>
      </c>
      <c r="K18" s="107"/>
      <c r="L18" s="108"/>
      <c r="M18" s="108"/>
      <c r="N18" s="108"/>
      <c r="O18" s="109"/>
    </row>
    <row r="19" spans="1:15" s="6" customFormat="1" ht="34.200000000000003">
      <c r="A19" s="13" t="e">
        <f>#REF!</f>
        <v>#REF!</v>
      </c>
      <c r="B19" s="12" t="e">
        <f>#REF!</f>
        <v>#REF!</v>
      </c>
      <c r="C19" s="12">
        <f t="shared" si="0"/>
        <v>0</v>
      </c>
      <c r="D19" s="14">
        <f t="shared" si="1"/>
        <v>0</v>
      </c>
      <c r="E19" s="110"/>
      <c r="F19" s="104"/>
      <c r="G19" s="422" t="s">
        <v>1061</v>
      </c>
      <c r="H19" s="105" t="s">
        <v>20</v>
      </c>
      <c r="I19" s="106"/>
      <c r="J19" s="423" t="s">
        <v>1062</v>
      </c>
      <c r="K19" s="107"/>
      <c r="L19" s="108"/>
      <c r="M19" s="108"/>
      <c r="N19" s="108"/>
      <c r="O19" s="109"/>
    </row>
    <row r="20" spans="1:15" s="6" customFormat="1" ht="34.200000000000003">
      <c r="A20" s="13" t="e">
        <f>#REF!</f>
        <v>#REF!</v>
      </c>
      <c r="B20" s="12" t="e">
        <f>#REF!</f>
        <v>#REF!</v>
      </c>
      <c r="C20" s="12">
        <f t="shared" si="0"/>
        <v>0</v>
      </c>
      <c r="D20" s="14">
        <f t="shared" si="1"/>
        <v>0</v>
      </c>
      <c r="E20" s="110"/>
      <c r="F20" s="104"/>
      <c r="G20" s="422" t="s">
        <v>1063</v>
      </c>
      <c r="H20" s="105" t="s">
        <v>20</v>
      </c>
      <c r="I20" s="106"/>
      <c r="J20" s="423" t="s">
        <v>1064</v>
      </c>
      <c r="K20" s="107"/>
      <c r="L20" s="108"/>
      <c r="M20" s="108"/>
      <c r="N20" s="108"/>
      <c r="O20" s="109"/>
    </row>
    <row r="21" spans="1:15" s="6" customFormat="1" ht="34.200000000000003">
      <c r="A21" s="13" t="e">
        <f>#REF!</f>
        <v>#REF!</v>
      </c>
      <c r="B21" s="12" t="e">
        <f>#REF!</f>
        <v>#REF!</v>
      </c>
      <c r="C21" s="12">
        <f t="shared" si="0"/>
        <v>0</v>
      </c>
      <c r="D21" s="14">
        <f t="shared" si="1"/>
        <v>0</v>
      </c>
      <c r="E21" s="110"/>
      <c r="F21" s="104"/>
      <c r="G21" s="422" t="s">
        <v>1065</v>
      </c>
      <c r="H21" s="105" t="s">
        <v>20</v>
      </c>
      <c r="I21" s="106"/>
      <c r="J21" s="423" t="s">
        <v>1066</v>
      </c>
      <c r="K21" s="107"/>
      <c r="L21" s="108"/>
      <c r="M21" s="108"/>
      <c r="N21" s="108"/>
      <c r="O21" s="109"/>
    </row>
    <row r="22" spans="1:15" s="6" customFormat="1" ht="34.200000000000003">
      <c r="A22" s="13" t="e">
        <f>#REF!</f>
        <v>#REF!</v>
      </c>
      <c r="B22" s="12" t="e">
        <f>#REF!</f>
        <v>#REF!</v>
      </c>
      <c r="C22" s="12">
        <f t="shared" si="0"/>
        <v>0</v>
      </c>
      <c r="D22" s="14">
        <f t="shared" si="1"/>
        <v>0</v>
      </c>
      <c r="E22" s="110"/>
      <c r="F22" s="104"/>
      <c r="G22" s="422" t="s">
        <v>1067</v>
      </c>
      <c r="H22" s="105" t="s">
        <v>20</v>
      </c>
      <c r="I22" s="106"/>
      <c r="J22" s="423" t="s">
        <v>1070</v>
      </c>
      <c r="K22" s="107"/>
      <c r="L22" s="108"/>
      <c r="M22" s="108"/>
      <c r="N22" s="108"/>
      <c r="O22" s="109"/>
    </row>
    <row r="23" spans="1:15" s="6" customFormat="1" ht="34.200000000000003">
      <c r="A23" s="13" t="e">
        <f>#REF!</f>
        <v>#REF!</v>
      </c>
      <c r="B23" s="12" t="e">
        <f>#REF!</f>
        <v>#REF!</v>
      </c>
      <c r="C23" s="12">
        <f t="shared" si="0"/>
        <v>0</v>
      </c>
      <c r="D23" s="14">
        <f t="shared" si="1"/>
        <v>0</v>
      </c>
      <c r="E23" s="110"/>
      <c r="F23" s="104"/>
      <c r="G23" s="422" t="s">
        <v>1068</v>
      </c>
      <c r="H23" s="105" t="s">
        <v>20</v>
      </c>
      <c r="I23" s="106"/>
      <c r="J23" s="423" t="s">
        <v>1069</v>
      </c>
      <c r="K23" s="107"/>
      <c r="L23" s="108"/>
      <c r="M23" s="108"/>
      <c r="N23" s="108"/>
      <c r="O23" s="109"/>
    </row>
    <row r="24" spans="1:15" s="6" customFormat="1" ht="34.200000000000003">
      <c r="A24" s="13" t="e">
        <f>#REF!</f>
        <v>#REF!</v>
      </c>
      <c r="B24" s="12" t="e">
        <f>#REF!</f>
        <v>#REF!</v>
      </c>
      <c r="C24" s="12">
        <f t="shared" si="0"/>
        <v>0</v>
      </c>
      <c r="D24" s="14">
        <f t="shared" si="1"/>
        <v>0</v>
      </c>
      <c r="E24" s="110"/>
      <c r="F24" s="104"/>
      <c r="G24" s="422" t="s">
        <v>1071</v>
      </c>
      <c r="H24" s="105" t="s">
        <v>20</v>
      </c>
      <c r="I24" s="106"/>
      <c r="J24" s="423" t="s">
        <v>1072</v>
      </c>
      <c r="K24" s="107"/>
      <c r="L24" s="108"/>
      <c r="M24" s="108"/>
      <c r="N24" s="108"/>
      <c r="O24" s="109"/>
    </row>
    <row r="25" spans="1:15" s="6" customFormat="1" ht="45.6">
      <c r="A25" s="13" t="e">
        <f>#REF!</f>
        <v>#REF!</v>
      </c>
      <c r="B25" s="12" t="e">
        <f>#REF!</f>
        <v>#REF!</v>
      </c>
      <c r="C25" s="12">
        <f t="shared" si="0"/>
        <v>0</v>
      </c>
      <c r="D25" s="14">
        <f t="shared" si="1"/>
        <v>0</v>
      </c>
      <c r="E25" s="110"/>
      <c r="F25" s="104"/>
      <c r="G25" s="422" t="s">
        <v>1073</v>
      </c>
      <c r="H25" s="105" t="s">
        <v>20</v>
      </c>
      <c r="I25" s="106"/>
      <c r="J25" s="423" t="s">
        <v>1074</v>
      </c>
      <c r="K25" s="107"/>
      <c r="L25" s="108"/>
      <c r="M25" s="108"/>
      <c r="N25" s="108"/>
      <c r="O25" s="109"/>
    </row>
    <row r="26" spans="1:15" s="6" customFormat="1" ht="45.6">
      <c r="A26" s="13" t="e">
        <f>#REF!</f>
        <v>#REF!</v>
      </c>
      <c r="B26" s="12" t="e">
        <f>#REF!</f>
        <v>#REF!</v>
      </c>
      <c r="C26" s="12">
        <f t="shared" si="0"/>
        <v>0</v>
      </c>
      <c r="D26" s="14">
        <f t="shared" si="1"/>
        <v>0</v>
      </c>
      <c r="E26" s="110"/>
      <c r="F26" s="104"/>
      <c r="G26" s="422" t="s">
        <v>1075</v>
      </c>
      <c r="H26" s="105" t="s">
        <v>20</v>
      </c>
      <c r="I26" s="106"/>
      <c r="J26" s="423" t="s">
        <v>1076</v>
      </c>
      <c r="K26" s="107"/>
      <c r="L26" s="108"/>
      <c r="M26" s="108"/>
      <c r="N26" s="108"/>
      <c r="O26" s="109"/>
    </row>
    <row r="27" spans="1:15" s="6" customFormat="1" ht="68.400000000000006">
      <c r="A27" s="13" t="e">
        <f>#REF!</f>
        <v>#REF!</v>
      </c>
      <c r="B27" s="12" t="e">
        <f>#REF!</f>
        <v>#REF!</v>
      </c>
      <c r="C27" s="12">
        <f t="shared" si="0"/>
        <v>0</v>
      </c>
      <c r="D27" s="14">
        <f t="shared" si="1"/>
        <v>0</v>
      </c>
      <c r="E27" s="425">
        <v>4</v>
      </c>
      <c r="F27" s="422" t="s">
        <v>1081</v>
      </c>
      <c r="G27" s="422" t="s">
        <v>1077</v>
      </c>
      <c r="H27" s="105" t="s">
        <v>20</v>
      </c>
      <c r="I27" s="106"/>
      <c r="J27" s="423" t="s">
        <v>1078</v>
      </c>
      <c r="K27" s="107"/>
      <c r="L27" s="108"/>
      <c r="M27" s="108"/>
      <c r="N27" s="108"/>
      <c r="O27" s="109"/>
    </row>
    <row r="28" spans="1:15" s="6" customFormat="1" ht="34.200000000000003">
      <c r="A28" s="13" t="e">
        <f>#REF!</f>
        <v>#REF!</v>
      </c>
      <c r="B28" s="12" t="e">
        <f>#REF!</f>
        <v>#REF!</v>
      </c>
      <c r="C28" s="12">
        <f t="shared" si="0"/>
        <v>0</v>
      </c>
      <c r="D28" s="14">
        <f t="shared" si="1"/>
        <v>0</v>
      </c>
      <c r="E28" s="110"/>
      <c r="F28" s="104"/>
      <c r="G28" s="422" t="s">
        <v>1079</v>
      </c>
      <c r="H28" s="105" t="s">
        <v>20</v>
      </c>
      <c r="I28" s="106"/>
      <c r="J28" s="423" t="s">
        <v>1080</v>
      </c>
      <c r="K28" s="107"/>
      <c r="L28" s="108"/>
      <c r="M28" s="108"/>
      <c r="N28" s="108"/>
      <c r="O28" s="109"/>
    </row>
    <row r="29" spans="1:15" s="6" customFormat="1" ht="45.6">
      <c r="A29" s="13" t="e">
        <f>#REF!</f>
        <v>#REF!</v>
      </c>
      <c r="B29" s="12" t="e">
        <f>#REF!</f>
        <v>#REF!</v>
      </c>
      <c r="C29" s="12">
        <f t="shared" si="0"/>
        <v>0</v>
      </c>
      <c r="D29" s="14">
        <f t="shared" si="1"/>
        <v>0</v>
      </c>
      <c r="E29" s="425">
        <v>5</v>
      </c>
      <c r="F29" s="422" t="s">
        <v>1082</v>
      </c>
      <c r="G29" s="103" t="s">
        <v>1083</v>
      </c>
      <c r="H29" s="105" t="s">
        <v>20</v>
      </c>
      <c r="I29" s="106"/>
      <c r="J29" s="423" t="s">
        <v>470</v>
      </c>
      <c r="K29" s="107"/>
      <c r="L29" s="108"/>
      <c r="M29" s="108"/>
      <c r="N29" s="108"/>
      <c r="O29" s="109"/>
    </row>
    <row r="30" spans="1:15" s="6" customFormat="1" ht="102.6">
      <c r="A30" s="13" t="e">
        <f>#REF!</f>
        <v>#REF!</v>
      </c>
      <c r="B30" s="12" t="e">
        <f>#REF!</f>
        <v>#REF!</v>
      </c>
      <c r="C30" s="12">
        <f t="shared" si="0"/>
        <v>0</v>
      </c>
      <c r="D30" s="14">
        <f t="shared" si="1"/>
        <v>0</v>
      </c>
      <c r="E30" s="425">
        <v>6</v>
      </c>
      <c r="F30" s="422" t="s">
        <v>1084</v>
      </c>
      <c r="G30" s="103" t="s">
        <v>1085</v>
      </c>
      <c r="H30" s="105" t="s">
        <v>20</v>
      </c>
      <c r="I30" s="106"/>
      <c r="J30" s="423" t="s">
        <v>1078</v>
      </c>
      <c r="K30" s="107"/>
      <c r="L30" s="108"/>
      <c r="M30" s="108"/>
      <c r="N30" s="108"/>
      <c r="O30" s="109"/>
    </row>
    <row r="31" spans="1:15" s="6" customFormat="1" ht="34.200000000000003">
      <c r="A31" s="13" t="e">
        <f>#REF!</f>
        <v>#REF!</v>
      </c>
      <c r="B31" s="12" t="e">
        <f>#REF!</f>
        <v>#REF!</v>
      </c>
      <c r="C31" s="12">
        <f t="shared" si="0"/>
        <v>0</v>
      </c>
      <c r="D31" s="14">
        <f t="shared" si="1"/>
        <v>0</v>
      </c>
      <c r="E31" s="110"/>
      <c r="F31" s="422"/>
      <c r="G31" s="184" t="s">
        <v>1088</v>
      </c>
      <c r="H31" s="185"/>
      <c r="I31" s="188"/>
      <c r="J31" s="184" t="s">
        <v>1089</v>
      </c>
      <c r="K31" s="107"/>
      <c r="L31" s="108"/>
      <c r="M31" s="108"/>
      <c r="N31" s="108"/>
      <c r="O31" s="109"/>
    </row>
    <row r="32" spans="1:15" s="6" customFormat="1" ht="91.2">
      <c r="A32" s="13" t="e">
        <f>#REF!</f>
        <v>#REF!</v>
      </c>
      <c r="B32" s="12" t="e">
        <f>#REF!</f>
        <v>#REF!</v>
      </c>
      <c r="C32" s="12">
        <f t="shared" si="0"/>
        <v>0</v>
      </c>
      <c r="D32" s="14">
        <f t="shared" si="1"/>
        <v>0</v>
      </c>
      <c r="E32" s="425">
        <v>7</v>
      </c>
      <c r="F32" s="422" t="s">
        <v>1086</v>
      </c>
      <c r="G32" s="422" t="s">
        <v>1087</v>
      </c>
      <c r="H32" s="105" t="s">
        <v>20</v>
      </c>
      <c r="I32" s="106"/>
      <c r="J32" s="423" t="s">
        <v>123</v>
      </c>
      <c r="K32" s="107"/>
      <c r="L32" s="108"/>
      <c r="M32" s="108"/>
      <c r="N32" s="108"/>
      <c r="O32" s="109"/>
    </row>
    <row r="33" spans="1:15" s="6" customFormat="1" ht="34.200000000000003">
      <c r="A33" s="13" t="e">
        <f>#REF!</f>
        <v>#REF!</v>
      </c>
      <c r="B33" s="12" t="e">
        <f>#REF!</f>
        <v>#REF!</v>
      </c>
      <c r="C33" s="12">
        <f t="shared" si="0"/>
        <v>0</v>
      </c>
      <c r="D33" s="14">
        <f t="shared" si="1"/>
        <v>0</v>
      </c>
      <c r="E33" s="110"/>
      <c r="F33" s="104"/>
      <c r="G33" s="184" t="s">
        <v>1090</v>
      </c>
      <c r="H33" s="185"/>
      <c r="I33" s="188"/>
      <c r="J33" s="184" t="s">
        <v>125</v>
      </c>
      <c r="K33" s="107"/>
      <c r="L33" s="108"/>
      <c r="M33" s="108"/>
      <c r="N33" s="108"/>
      <c r="O33" s="109"/>
    </row>
    <row r="34" spans="1:15" s="6" customFormat="1" ht="34.200000000000003">
      <c r="A34" s="13" t="e">
        <f>#REF!</f>
        <v>#REF!</v>
      </c>
      <c r="B34" s="12" t="e">
        <f>#REF!</f>
        <v>#REF!</v>
      </c>
      <c r="C34" s="12">
        <f t="shared" si="0"/>
        <v>0</v>
      </c>
      <c r="D34" s="14">
        <f t="shared" si="1"/>
        <v>0</v>
      </c>
      <c r="E34" s="110"/>
      <c r="F34" s="104"/>
      <c r="G34" s="184" t="s">
        <v>1091</v>
      </c>
      <c r="H34" s="185"/>
      <c r="I34" s="188"/>
      <c r="J34" s="184" t="s">
        <v>1093</v>
      </c>
      <c r="K34" s="107"/>
      <c r="L34" s="108"/>
      <c r="M34" s="108"/>
      <c r="N34" s="108"/>
      <c r="O34" s="109"/>
    </row>
    <row r="35" spans="1:15" s="6" customFormat="1" ht="34.200000000000003">
      <c r="A35" s="13" t="e">
        <f>#REF!</f>
        <v>#REF!</v>
      </c>
      <c r="B35" s="12" t="e">
        <f>#REF!</f>
        <v>#REF!</v>
      </c>
      <c r="C35" s="12">
        <f t="shared" si="0"/>
        <v>0</v>
      </c>
      <c r="D35" s="14">
        <f t="shared" si="1"/>
        <v>0</v>
      </c>
      <c r="E35" s="110"/>
      <c r="F35" s="104"/>
      <c r="G35" s="184" t="s">
        <v>1092</v>
      </c>
      <c r="H35" s="185"/>
      <c r="I35" s="188"/>
      <c r="J35" s="184" t="s">
        <v>1094</v>
      </c>
      <c r="K35" s="107"/>
      <c r="L35" s="108"/>
      <c r="M35" s="108"/>
      <c r="N35" s="108"/>
      <c r="O35" s="109"/>
    </row>
    <row r="36" spans="1:15" s="6" customFormat="1" ht="45.6">
      <c r="A36" s="13" t="e">
        <f>#REF!</f>
        <v>#REF!</v>
      </c>
      <c r="B36" s="12" t="e">
        <f>#REF!</f>
        <v>#REF!</v>
      </c>
      <c r="C36" s="12">
        <f t="shared" si="0"/>
        <v>0</v>
      </c>
      <c r="D36" s="14">
        <f t="shared" si="1"/>
        <v>0</v>
      </c>
      <c r="E36" s="425">
        <v>8</v>
      </c>
      <c r="F36" s="422" t="s">
        <v>1095</v>
      </c>
      <c r="G36" s="103" t="s">
        <v>1052</v>
      </c>
      <c r="H36" s="105" t="s">
        <v>20</v>
      </c>
      <c r="I36" s="106"/>
      <c r="J36" s="423" t="s">
        <v>131</v>
      </c>
      <c r="K36" s="107"/>
      <c r="L36" s="108"/>
      <c r="M36" s="108"/>
      <c r="N36" s="108"/>
      <c r="O36" s="109"/>
    </row>
    <row r="37" spans="1:15" s="6" customFormat="1" ht="45.6">
      <c r="A37" s="13" t="e">
        <f>#REF!</f>
        <v>#REF!</v>
      </c>
      <c r="B37" s="12" t="e">
        <f>#REF!</f>
        <v>#REF!</v>
      </c>
      <c r="C37" s="12">
        <f t="shared" si="0"/>
        <v>0</v>
      </c>
      <c r="D37" s="14">
        <f t="shared" si="1"/>
        <v>0</v>
      </c>
      <c r="E37" s="110"/>
      <c r="F37" s="427"/>
      <c r="G37" s="103" t="s">
        <v>1096</v>
      </c>
      <c r="H37" s="105"/>
      <c r="I37" s="106"/>
      <c r="J37" s="426" t="s">
        <v>131</v>
      </c>
      <c r="K37" s="107"/>
      <c r="L37" s="108"/>
      <c r="M37" s="108"/>
      <c r="N37" s="108"/>
      <c r="O37" s="109"/>
    </row>
    <row r="38" spans="1:15" s="6" customFormat="1" ht="34.200000000000003">
      <c r="A38" s="13" t="e">
        <f>#REF!</f>
        <v>#REF!</v>
      </c>
      <c r="B38" s="12" t="e">
        <f>#REF!</f>
        <v>#REF!</v>
      </c>
      <c r="C38" s="12">
        <f t="shared" si="0"/>
        <v>0</v>
      </c>
      <c r="D38" s="14">
        <f t="shared" si="1"/>
        <v>0</v>
      </c>
      <c r="E38" s="425">
        <v>9</v>
      </c>
      <c r="F38" s="427" t="s">
        <v>1097</v>
      </c>
      <c r="G38" s="118" t="s">
        <v>1098</v>
      </c>
      <c r="H38" s="113"/>
      <c r="I38" s="114"/>
      <c r="J38" s="428" t="s">
        <v>207</v>
      </c>
      <c r="K38" s="107"/>
      <c r="L38" s="108"/>
      <c r="M38" s="108"/>
      <c r="N38" s="108"/>
      <c r="O38" s="109"/>
    </row>
    <row r="39" spans="1:15" s="6" customFormat="1" ht="45.6">
      <c r="A39" s="13" t="e">
        <f>#REF!</f>
        <v>#REF!</v>
      </c>
      <c r="B39" s="12" t="e">
        <f>#REF!</f>
        <v>#REF!</v>
      </c>
      <c r="C39" s="12">
        <f t="shared" si="0"/>
        <v>0</v>
      </c>
      <c r="D39" s="14">
        <f t="shared" si="1"/>
        <v>0</v>
      </c>
      <c r="E39" s="110"/>
      <c r="F39" s="112"/>
      <c r="G39" s="427" t="s">
        <v>1099</v>
      </c>
      <c r="H39" s="113"/>
      <c r="I39" s="114"/>
      <c r="J39" s="428" t="s">
        <v>210</v>
      </c>
      <c r="K39" s="107"/>
      <c r="L39" s="108"/>
      <c r="M39" s="108"/>
      <c r="N39" s="108"/>
      <c r="O39" s="109"/>
    </row>
    <row r="40" spans="1:15" s="6" customFormat="1" ht="45.6">
      <c r="A40" s="13"/>
      <c r="B40" s="12"/>
      <c r="C40" s="12"/>
      <c r="D40" s="14"/>
      <c r="E40" s="110"/>
      <c r="F40" s="112"/>
      <c r="G40" s="427" t="s">
        <v>1100</v>
      </c>
      <c r="H40" s="113"/>
      <c r="I40" s="114"/>
      <c r="J40" s="428" t="s">
        <v>210</v>
      </c>
      <c r="K40" s="107"/>
      <c r="L40" s="108"/>
      <c r="M40" s="108"/>
      <c r="N40" s="108"/>
      <c r="O40" s="109"/>
    </row>
    <row r="41" spans="1:15" s="6" customFormat="1" ht="34.799999999999997" thickBot="1">
      <c r="A41" s="13"/>
      <c r="B41" s="12"/>
      <c r="C41" s="12"/>
      <c r="D41" s="14"/>
      <c r="E41" s="110"/>
      <c r="F41" s="112"/>
      <c r="G41" s="427" t="s">
        <v>1101</v>
      </c>
      <c r="H41" s="113"/>
      <c r="I41" s="114"/>
      <c r="J41" s="428" t="s">
        <v>140</v>
      </c>
      <c r="K41" s="107"/>
      <c r="L41" s="108"/>
      <c r="M41" s="108"/>
      <c r="N41" s="108"/>
      <c r="O41" s="109"/>
    </row>
    <row r="42" spans="1:15" s="6" customFormat="1" ht="27" customHeight="1" thickBot="1">
      <c r="A42" s="86" t="e">
        <f>#REF!</f>
        <v>#REF!</v>
      </c>
      <c r="B42" s="87" t="e">
        <f>#REF!</f>
        <v>#REF!</v>
      </c>
      <c r="C42" s="87">
        <f t="shared" si="0"/>
        <v>0</v>
      </c>
      <c r="D42" s="88">
        <f t="shared" si="1"/>
        <v>0</v>
      </c>
      <c r="E42" s="71"/>
      <c r="F42" s="73" t="s">
        <v>46</v>
      </c>
      <c r="G42" s="66"/>
      <c r="H42" s="66"/>
      <c r="I42" s="66"/>
      <c r="J42" s="72"/>
      <c r="K42" s="72"/>
      <c r="L42" s="66"/>
      <c r="M42" s="66"/>
      <c r="N42" s="66"/>
      <c r="O42" s="66"/>
    </row>
    <row r="43" spans="1:15" ht="22.5" customHeight="1"/>
  </sheetData>
  <sheetProtection formatCells="0" formatColumns="0" formatRows="0" insertRows="0" insertHyperlinks="0" deleteRows="0" sort="0" autoFilter="0" pivotTables="0"/>
  <mergeCells count="19">
    <mergeCell ref="H5:I6"/>
    <mergeCell ref="L5:O5"/>
    <mergeCell ref="L6:O6"/>
    <mergeCell ref="G2:I2"/>
    <mergeCell ref="L2:O2"/>
    <mergeCell ref="G3:I4"/>
    <mergeCell ref="L3:O3"/>
    <mergeCell ref="L4:O4"/>
    <mergeCell ref="G12:G13"/>
    <mergeCell ref="H7:I8"/>
    <mergeCell ref="L7:O7"/>
    <mergeCell ref="E11:F11"/>
    <mergeCell ref="H11:H13"/>
    <mergeCell ref="I11:I13"/>
    <mergeCell ref="J11:J13"/>
    <mergeCell ref="K11:K13"/>
    <mergeCell ref="L11:N11"/>
    <mergeCell ref="O11:O13"/>
    <mergeCell ref="E12:F12"/>
  </mergeCells>
  <dataValidations count="1">
    <dataValidation type="list" allowBlank="1" showInputMessage="1" showErrorMessage="1" sqref="O14:O38" xr:uid="{01A2B2F6-610B-412D-A5A5-90E86A099E8B}">
      <formula1>"Pass,Failed"</formula1>
    </dataValidation>
  </dataValidations>
  <pageMargins left="0.7" right="0.7" top="0.75" bottom="0.75" header="0.3" footer="0.3"/>
  <pageSetup paperSize="9" orientation="portrait" r:id="rId1"/>
  <headerFooter>
    <oddHeader>&amp;L&amp;G</oddHeader>
    <oddFooter>&amp;LTemplate ID: TP_TE_TestCase_V.2.0.0
Copyright&amp;RFile Name: &amp;F
Page: &amp;P/&amp;N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4849" r:id="rId5" name="Button 1">
              <controlPr defaultSize="0" print="0" autoFill="0" autoPict="0" macro="[0]!Home">
                <anchor moveWithCells="1" sizeWithCells="1">
                  <from>
                    <xdr:col>6</xdr:col>
                    <xdr:colOff>381000</xdr:colOff>
                    <xdr:row>8</xdr:row>
                    <xdr:rowOff>236220</xdr:rowOff>
                  </from>
                  <to>
                    <xdr:col>6</xdr:col>
                    <xdr:colOff>1219200</xdr:colOff>
                    <xdr:row>9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62278B-4E2C-48FE-85BE-2A1FB382B889}">
  <sheetPr codeName="Sheet19"/>
  <dimension ref="A1:P45"/>
  <sheetViews>
    <sheetView showGridLines="0" topLeftCell="E12" workbookViewId="0">
      <selection activeCell="J19" sqref="J19"/>
    </sheetView>
  </sheetViews>
  <sheetFormatPr defaultColWidth="9.28515625" defaultRowHeight="11.4"/>
  <cols>
    <col min="1" max="1" width="11.85546875" style="10" hidden="1" customWidth="1"/>
    <col min="2" max="2" width="14.85546875" style="2" hidden="1" customWidth="1"/>
    <col min="3" max="3" width="17.28515625" style="2" hidden="1" customWidth="1"/>
    <col min="4" max="4" width="18.28515625" style="2" hidden="1" customWidth="1"/>
    <col min="5" max="5" width="8.42578125" style="2" customWidth="1"/>
    <col min="6" max="6" width="25.28515625" style="2" customWidth="1"/>
    <col min="7" max="7" width="39.85546875" style="2" customWidth="1"/>
    <col min="8" max="8" width="13.28515625" style="2" customWidth="1"/>
    <col min="9" max="9" width="18.42578125" style="2" customWidth="1"/>
    <col min="10" max="10" width="35.85546875" style="2" customWidth="1"/>
    <col min="11" max="11" width="35.140625" style="2" customWidth="1"/>
    <col min="12" max="12" width="9.85546875" style="2" customWidth="1"/>
    <col min="13" max="13" width="9.42578125" style="2" customWidth="1"/>
    <col min="14" max="14" width="9.7109375" style="2" customWidth="1"/>
    <col min="15" max="15" width="14.28515625" style="2" customWidth="1"/>
    <col min="16" max="16" width="23.85546875" style="2" customWidth="1"/>
    <col min="17" max="16384" width="9.28515625" style="2"/>
  </cols>
  <sheetData>
    <row r="1" spans="1:16" ht="18.75" customHeight="1" thickBot="1">
      <c r="K1" s="1"/>
      <c r="L1" s="1"/>
      <c r="M1" s="1"/>
      <c r="N1" s="1"/>
    </row>
    <row r="2" spans="1:16" s="1" customFormat="1" ht="33" customHeight="1">
      <c r="A2" s="11"/>
      <c r="E2" s="32" t="s">
        <v>10</v>
      </c>
      <c r="F2" s="33"/>
      <c r="G2" s="491" t="s">
        <v>1104</v>
      </c>
      <c r="H2" s="492"/>
      <c r="I2" s="493"/>
      <c r="J2" s="7"/>
      <c r="K2" s="82" t="s">
        <v>22</v>
      </c>
      <c r="L2" s="470" t="s">
        <v>75</v>
      </c>
      <c r="M2" s="471"/>
      <c r="N2" s="471"/>
      <c r="O2" s="472"/>
    </row>
    <row r="3" spans="1:16" s="1" customFormat="1" ht="22.5" customHeight="1">
      <c r="A3" s="11"/>
      <c r="E3" s="34" t="s">
        <v>9</v>
      </c>
      <c r="F3" s="35"/>
      <c r="G3" s="480" t="str">
        <f>VLOOKUP(G2,'Test Case'!F13:G65515,2,TRUE)</f>
        <v>ทดสอบการบันทึกรายการสินค้า/บริการในกรณี (หน้าบันทึกรายการ) Validate ข้อมูล</v>
      </c>
      <c r="H3" s="481"/>
      <c r="I3" s="482"/>
      <c r="J3" s="8"/>
      <c r="K3" s="36" t="s">
        <v>6</v>
      </c>
      <c r="L3" s="473" t="s">
        <v>74</v>
      </c>
      <c r="M3" s="474"/>
      <c r="N3" s="474"/>
      <c r="O3" s="475"/>
    </row>
    <row r="4" spans="1:16" s="1" customFormat="1" ht="23.25" customHeight="1" thickBot="1">
      <c r="A4" s="11"/>
      <c r="E4" s="34"/>
      <c r="F4" s="35"/>
      <c r="G4" s="483"/>
      <c r="H4" s="484"/>
      <c r="I4" s="485"/>
      <c r="J4" s="8"/>
      <c r="K4" s="36" t="s">
        <v>11</v>
      </c>
      <c r="L4" s="476" t="s">
        <v>69</v>
      </c>
      <c r="M4" s="477"/>
      <c r="N4" s="477"/>
      <c r="O4" s="478"/>
    </row>
    <row r="5" spans="1:16" s="1" customFormat="1" ht="22.5" customHeight="1">
      <c r="A5" s="11"/>
      <c r="E5" s="130"/>
      <c r="F5" s="131"/>
      <c r="G5" s="128"/>
      <c r="H5" s="494"/>
      <c r="I5" s="494"/>
      <c r="J5" s="5"/>
      <c r="K5" s="36" t="s">
        <v>4</v>
      </c>
      <c r="L5" s="476" t="s">
        <v>76</v>
      </c>
      <c r="M5" s="477"/>
      <c r="N5" s="477"/>
      <c r="O5" s="478"/>
    </row>
    <row r="6" spans="1:16" s="1" customFormat="1" ht="22.5" customHeight="1">
      <c r="A6" s="11"/>
      <c r="E6" s="130"/>
      <c r="F6" s="131"/>
      <c r="G6" s="129"/>
      <c r="H6" s="494"/>
      <c r="I6" s="494"/>
      <c r="J6" s="5"/>
      <c r="K6" s="36" t="s">
        <v>55</v>
      </c>
      <c r="L6" s="479">
        <v>43330</v>
      </c>
      <c r="M6" s="477"/>
      <c r="N6" s="477"/>
      <c r="O6" s="478"/>
    </row>
    <row r="7" spans="1:16" s="1" customFormat="1" ht="22.5" customHeight="1" thickBot="1">
      <c r="A7" s="11"/>
      <c r="E7" s="130"/>
      <c r="F7" s="131"/>
      <c r="G7" s="128"/>
      <c r="H7" s="506"/>
      <c r="I7" s="507"/>
      <c r="J7" s="5"/>
      <c r="K7" s="37" t="s">
        <v>54</v>
      </c>
      <c r="L7" s="510">
        <f>G11</f>
        <v>7</v>
      </c>
      <c r="M7" s="511"/>
      <c r="N7" s="511"/>
      <c r="O7" s="512"/>
    </row>
    <row r="8" spans="1:16" s="1" customFormat="1" ht="22.5" customHeight="1">
      <c r="A8" s="11"/>
      <c r="E8" s="130"/>
      <c r="F8" s="131"/>
      <c r="G8" s="129"/>
      <c r="H8" s="507"/>
      <c r="I8" s="507"/>
      <c r="J8" s="5"/>
      <c r="K8"/>
      <c r="N8" s="9"/>
    </row>
    <row r="9" spans="1:16" s="1" customFormat="1" ht="22.5" customHeight="1">
      <c r="A9" s="11"/>
      <c r="H9" s="2"/>
      <c r="I9" s="2"/>
      <c r="J9" s="5"/>
      <c r="K9"/>
      <c r="M9" s="2"/>
      <c r="N9" s="9"/>
    </row>
    <row r="10" spans="1:16" s="1" customFormat="1" ht="29.25" customHeight="1" thickBot="1">
      <c r="A10" s="11"/>
      <c r="J10" s="5"/>
      <c r="K10" s="2"/>
      <c r="L10" s="2"/>
      <c r="M10" s="4"/>
      <c r="N10" s="4"/>
      <c r="O10" s="4"/>
    </row>
    <row r="11" spans="1:16" s="1" customFormat="1" ht="29.25" customHeight="1">
      <c r="A11" s="89"/>
      <c r="B11" s="90"/>
      <c r="C11" s="90"/>
      <c r="D11" s="90"/>
      <c r="E11" s="508" t="s">
        <v>45</v>
      </c>
      <c r="F11" s="509"/>
      <c r="G11" s="93">
        <f>COUNTA(G14:G43)</f>
        <v>7</v>
      </c>
      <c r="H11" s="488" t="s">
        <v>51</v>
      </c>
      <c r="I11" s="488" t="s">
        <v>5</v>
      </c>
      <c r="J11" s="488" t="s">
        <v>3</v>
      </c>
      <c r="K11" s="498" t="s">
        <v>13</v>
      </c>
      <c r="L11" s="501" t="s">
        <v>48</v>
      </c>
      <c r="M11" s="502"/>
      <c r="N11" s="503"/>
      <c r="O11" s="495" t="s">
        <v>52</v>
      </c>
      <c r="P11" s="3"/>
    </row>
    <row r="12" spans="1:16" s="1" customFormat="1" ht="16.5" customHeight="1" thickBot="1">
      <c r="A12" s="91"/>
      <c r="B12" s="92" t="s">
        <v>1105</v>
      </c>
      <c r="C12" s="92"/>
      <c r="D12" s="92"/>
      <c r="E12" s="504">
        <f>COUNTA(E14:E43)</f>
        <v>4</v>
      </c>
      <c r="F12" s="505"/>
      <c r="G12" s="486" t="s">
        <v>44</v>
      </c>
      <c r="H12" s="489"/>
      <c r="I12" s="489"/>
      <c r="J12" s="489"/>
      <c r="K12" s="499"/>
      <c r="L12" s="94">
        <f>COUNTA(L14:L43)</f>
        <v>0</v>
      </c>
      <c r="M12" s="95">
        <f>COUNTA(M14:M43)</f>
        <v>0</v>
      </c>
      <c r="N12" s="96">
        <f>COUNTA(N14:N43)</f>
        <v>0</v>
      </c>
      <c r="O12" s="496"/>
      <c r="P12" s="3"/>
    </row>
    <row r="13" spans="1:16" s="1" customFormat="1" ht="22.5" customHeight="1" thickBot="1">
      <c r="A13" s="23" t="s">
        <v>7</v>
      </c>
      <c r="B13" s="24" t="s">
        <v>18</v>
      </c>
      <c r="C13" s="25" t="s">
        <v>19</v>
      </c>
      <c r="D13" s="25" t="s">
        <v>17</v>
      </c>
      <c r="E13" s="97" t="s">
        <v>43</v>
      </c>
      <c r="F13" s="429" t="s">
        <v>12</v>
      </c>
      <c r="G13" s="487"/>
      <c r="H13" s="490"/>
      <c r="I13" s="490"/>
      <c r="J13" s="490"/>
      <c r="K13" s="500"/>
      <c r="L13" s="99" t="s">
        <v>42</v>
      </c>
      <c r="M13" s="100" t="s">
        <v>47</v>
      </c>
      <c r="N13" s="101" t="s">
        <v>53</v>
      </c>
      <c r="O13" s="497"/>
      <c r="P13" s="3"/>
    </row>
    <row r="14" spans="1:16" s="6" customFormat="1" ht="353.4">
      <c r="A14" s="13"/>
      <c r="B14" s="12"/>
      <c r="C14" s="12"/>
      <c r="D14" s="14"/>
      <c r="E14" s="424">
        <v>1</v>
      </c>
      <c r="F14" s="422" t="s">
        <v>1041</v>
      </c>
      <c r="G14" s="422" t="s">
        <v>1167</v>
      </c>
      <c r="H14" s="105" t="s">
        <v>20</v>
      </c>
      <c r="I14" s="106"/>
      <c r="J14" s="423" t="s">
        <v>1110</v>
      </c>
      <c r="K14" s="107"/>
      <c r="L14" s="108"/>
      <c r="M14" s="108"/>
      <c r="N14" s="108"/>
      <c r="O14" s="109"/>
    </row>
    <row r="15" spans="1:16" s="6" customFormat="1" ht="34.200000000000003">
      <c r="A15" s="13"/>
      <c r="B15" s="12"/>
      <c r="C15" s="12"/>
      <c r="D15" s="14"/>
      <c r="E15" s="424">
        <v>2</v>
      </c>
      <c r="F15" s="422" t="s">
        <v>1174</v>
      </c>
      <c r="G15" s="422" t="s">
        <v>1175</v>
      </c>
      <c r="H15" s="105"/>
      <c r="I15" s="106"/>
      <c r="J15" s="423" t="s">
        <v>1169</v>
      </c>
      <c r="K15" s="107"/>
      <c r="L15" s="108"/>
      <c r="M15" s="108"/>
      <c r="N15" s="108"/>
      <c r="O15" s="109"/>
    </row>
    <row r="16" spans="1:16" s="6" customFormat="1" ht="57">
      <c r="A16" s="13"/>
      <c r="B16" s="12"/>
      <c r="C16" s="12"/>
      <c r="D16" s="14"/>
      <c r="E16" s="425">
        <v>3</v>
      </c>
      <c r="F16" s="422" t="s">
        <v>1166</v>
      </c>
      <c r="G16" s="422" t="s">
        <v>1168</v>
      </c>
      <c r="H16" s="105"/>
      <c r="I16" s="106"/>
      <c r="J16" s="423" t="s">
        <v>1170</v>
      </c>
      <c r="K16" s="107"/>
      <c r="L16" s="108"/>
      <c r="M16" s="108"/>
      <c r="N16" s="108"/>
      <c r="O16" s="109"/>
    </row>
    <row r="17" spans="1:15" s="6" customFormat="1" ht="34.200000000000003">
      <c r="A17" s="13" t="e">
        <f>#REF!</f>
        <v>#REF!</v>
      </c>
      <c r="B17" s="12" t="e">
        <f>#REF!</f>
        <v>#REF!</v>
      </c>
      <c r="C17" s="12">
        <f t="shared" ref="C17:C44" si="0">$I$5</f>
        <v>0</v>
      </c>
      <c r="D17" s="14">
        <f t="shared" ref="D17:D44" si="1">$I$7</f>
        <v>0</v>
      </c>
      <c r="E17" s="110"/>
      <c r="F17" s="104"/>
      <c r="G17" s="422" t="s">
        <v>1171</v>
      </c>
      <c r="H17" s="105" t="s">
        <v>20</v>
      </c>
      <c r="I17" s="106"/>
      <c r="J17" s="423" t="s">
        <v>1172</v>
      </c>
      <c r="K17" s="107"/>
      <c r="L17" s="108"/>
      <c r="M17" s="108"/>
      <c r="N17" s="108"/>
      <c r="O17" s="109"/>
    </row>
    <row r="18" spans="1:15" s="6" customFormat="1" ht="34.200000000000003">
      <c r="A18" s="13" t="e">
        <f>#REF!</f>
        <v>#REF!</v>
      </c>
      <c r="B18" s="12" t="e">
        <f>#REF!</f>
        <v>#REF!</v>
      </c>
      <c r="C18" s="12">
        <f t="shared" si="0"/>
        <v>0</v>
      </c>
      <c r="D18" s="14">
        <f t="shared" si="1"/>
        <v>0</v>
      </c>
      <c r="E18" s="110"/>
      <c r="F18" s="104"/>
      <c r="G18" s="422" t="s">
        <v>1173</v>
      </c>
      <c r="H18" s="105" t="s">
        <v>20</v>
      </c>
      <c r="I18" s="106"/>
      <c r="J18" s="423" t="s">
        <v>1122</v>
      </c>
      <c r="K18" s="107"/>
      <c r="L18" s="108"/>
      <c r="M18" s="108"/>
      <c r="N18" s="108"/>
      <c r="O18" s="109"/>
    </row>
    <row r="19" spans="1:15" s="6" customFormat="1" ht="34.200000000000003">
      <c r="A19" s="13" t="e">
        <f>#REF!</f>
        <v>#REF!</v>
      </c>
      <c r="B19" s="12" t="e">
        <f>#REF!</f>
        <v>#REF!</v>
      </c>
      <c r="C19" s="12">
        <f t="shared" si="0"/>
        <v>0</v>
      </c>
      <c r="D19" s="14">
        <f t="shared" si="1"/>
        <v>0</v>
      </c>
      <c r="E19" s="425">
        <v>4</v>
      </c>
      <c r="F19" s="422" t="s">
        <v>1177</v>
      </c>
      <c r="G19" s="422" t="s">
        <v>1176</v>
      </c>
      <c r="H19" s="105" t="s">
        <v>20</v>
      </c>
      <c r="I19" s="106"/>
      <c r="J19" s="106"/>
      <c r="K19" s="107"/>
      <c r="L19" s="108"/>
      <c r="M19" s="108"/>
      <c r="N19" s="108"/>
      <c r="O19" s="109"/>
    </row>
    <row r="20" spans="1:15" s="6" customFormat="1">
      <c r="A20" s="13" t="e">
        <f>#REF!</f>
        <v>#REF!</v>
      </c>
      <c r="B20" s="12" t="e">
        <f>#REF!</f>
        <v>#REF!</v>
      </c>
      <c r="C20" s="12">
        <f t="shared" si="0"/>
        <v>0</v>
      </c>
      <c r="D20" s="14">
        <f t="shared" si="1"/>
        <v>0</v>
      </c>
      <c r="E20" s="110"/>
      <c r="F20" s="422"/>
      <c r="G20" s="103"/>
      <c r="H20" s="105" t="s">
        <v>20</v>
      </c>
      <c r="I20" s="106"/>
      <c r="J20" s="106"/>
      <c r="K20" s="107"/>
      <c r="L20" s="108"/>
      <c r="M20" s="108"/>
      <c r="N20" s="108"/>
      <c r="O20" s="109"/>
    </row>
    <row r="21" spans="1:15" s="6" customFormat="1" ht="27" customHeight="1">
      <c r="A21" s="13" t="e">
        <f>#REF!</f>
        <v>#REF!</v>
      </c>
      <c r="B21" s="12" t="e">
        <f>#REF!</f>
        <v>#REF!</v>
      </c>
      <c r="C21" s="12">
        <f t="shared" si="0"/>
        <v>0</v>
      </c>
      <c r="D21" s="14">
        <f t="shared" si="1"/>
        <v>0</v>
      </c>
      <c r="E21" s="110"/>
      <c r="F21" s="104"/>
      <c r="G21" s="103"/>
      <c r="H21" s="105" t="s">
        <v>20</v>
      </c>
      <c r="I21" s="106"/>
      <c r="J21" s="106"/>
      <c r="K21" s="107"/>
      <c r="L21" s="108"/>
      <c r="M21" s="108"/>
      <c r="N21" s="108"/>
      <c r="O21" s="109"/>
    </row>
    <row r="22" spans="1:15" s="6" customFormat="1" ht="27" customHeight="1">
      <c r="A22" s="13" t="e">
        <f>#REF!</f>
        <v>#REF!</v>
      </c>
      <c r="B22" s="12" t="e">
        <f>#REF!</f>
        <v>#REF!</v>
      </c>
      <c r="C22" s="12">
        <f t="shared" si="0"/>
        <v>0</v>
      </c>
      <c r="D22" s="14">
        <f t="shared" si="1"/>
        <v>0</v>
      </c>
      <c r="E22" s="110"/>
      <c r="F22" s="104"/>
      <c r="G22" s="103"/>
      <c r="H22" s="105" t="s">
        <v>20</v>
      </c>
      <c r="I22" s="106"/>
      <c r="J22" s="106"/>
      <c r="K22" s="107"/>
      <c r="L22" s="108"/>
      <c r="M22" s="108"/>
      <c r="N22" s="108"/>
      <c r="O22" s="109"/>
    </row>
    <row r="23" spans="1:15" s="6" customFormat="1" ht="27" customHeight="1">
      <c r="A23" s="13" t="e">
        <f>#REF!</f>
        <v>#REF!</v>
      </c>
      <c r="B23" s="12" t="e">
        <f>#REF!</f>
        <v>#REF!</v>
      </c>
      <c r="C23" s="12">
        <f t="shared" si="0"/>
        <v>0</v>
      </c>
      <c r="D23" s="14">
        <f t="shared" si="1"/>
        <v>0</v>
      </c>
      <c r="E23" s="110"/>
      <c r="F23" s="104"/>
      <c r="G23" s="103"/>
      <c r="H23" s="105" t="s">
        <v>20</v>
      </c>
      <c r="I23" s="106"/>
      <c r="J23" s="106"/>
      <c r="K23" s="107"/>
      <c r="L23" s="108"/>
      <c r="M23" s="108"/>
      <c r="N23" s="108"/>
      <c r="O23" s="109"/>
    </row>
    <row r="24" spans="1:15" s="6" customFormat="1" ht="27" customHeight="1">
      <c r="A24" s="13" t="e">
        <f>#REF!</f>
        <v>#REF!</v>
      </c>
      <c r="B24" s="12" t="e">
        <f>#REF!</f>
        <v>#REF!</v>
      </c>
      <c r="C24" s="12">
        <f t="shared" si="0"/>
        <v>0</v>
      </c>
      <c r="D24" s="14">
        <f t="shared" si="1"/>
        <v>0</v>
      </c>
      <c r="E24" s="110"/>
      <c r="F24" s="104"/>
      <c r="G24" s="103"/>
      <c r="H24" s="105" t="s">
        <v>20</v>
      </c>
      <c r="I24" s="106"/>
      <c r="J24" s="106"/>
      <c r="K24" s="107"/>
      <c r="L24" s="108"/>
      <c r="M24" s="108"/>
      <c r="N24" s="108"/>
      <c r="O24" s="109"/>
    </row>
    <row r="25" spans="1:15" s="6" customFormat="1" ht="27" customHeight="1">
      <c r="A25" s="13" t="e">
        <f>#REF!</f>
        <v>#REF!</v>
      </c>
      <c r="B25" s="12" t="e">
        <f>#REF!</f>
        <v>#REF!</v>
      </c>
      <c r="C25" s="12">
        <f t="shared" si="0"/>
        <v>0</v>
      </c>
      <c r="D25" s="14">
        <f t="shared" si="1"/>
        <v>0</v>
      </c>
      <c r="E25" s="110"/>
      <c r="F25" s="104"/>
      <c r="G25" s="103"/>
      <c r="H25" s="105" t="s">
        <v>20</v>
      </c>
      <c r="I25" s="106"/>
      <c r="J25" s="106"/>
      <c r="K25" s="107"/>
      <c r="L25" s="108"/>
      <c r="M25" s="108"/>
      <c r="N25" s="108"/>
      <c r="O25" s="109"/>
    </row>
    <row r="26" spans="1:15" s="6" customFormat="1" ht="27" customHeight="1">
      <c r="A26" s="13" t="e">
        <f>#REF!</f>
        <v>#REF!</v>
      </c>
      <c r="B26" s="12" t="e">
        <f>#REF!</f>
        <v>#REF!</v>
      </c>
      <c r="C26" s="12">
        <f t="shared" si="0"/>
        <v>0</v>
      </c>
      <c r="D26" s="14">
        <f t="shared" si="1"/>
        <v>0</v>
      </c>
      <c r="E26" s="110"/>
      <c r="F26" s="104"/>
      <c r="G26" s="103"/>
      <c r="H26" s="105" t="s">
        <v>20</v>
      </c>
      <c r="I26" s="106"/>
      <c r="J26" s="106"/>
      <c r="K26" s="107"/>
      <c r="L26" s="108"/>
      <c r="M26" s="108"/>
      <c r="N26" s="108"/>
      <c r="O26" s="109"/>
    </row>
    <row r="27" spans="1:15" s="6" customFormat="1" ht="27" customHeight="1">
      <c r="A27" s="13" t="e">
        <f>#REF!</f>
        <v>#REF!</v>
      </c>
      <c r="B27" s="12" t="e">
        <f>#REF!</f>
        <v>#REF!</v>
      </c>
      <c r="C27" s="12">
        <f t="shared" si="0"/>
        <v>0</v>
      </c>
      <c r="D27" s="14">
        <f t="shared" si="1"/>
        <v>0</v>
      </c>
      <c r="E27" s="110"/>
      <c r="F27" s="104"/>
      <c r="G27" s="103"/>
      <c r="H27" s="105" t="s">
        <v>20</v>
      </c>
      <c r="I27" s="106"/>
      <c r="J27" s="106"/>
      <c r="K27" s="107"/>
      <c r="L27" s="108"/>
      <c r="M27" s="108"/>
      <c r="N27" s="108"/>
      <c r="O27" s="109"/>
    </row>
    <row r="28" spans="1:15" s="6" customFormat="1" ht="27" customHeight="1">
      <c r="A28" s="13" t="e">
        <f>#REF!</f>
        <v>#REF!</v>
      </c>
      <c r="B28" s="12" t="e">
        <f>#REF!</f>
        <v>#REF!</v>
      </c>
      <c r="C28" s="12">
        <f t="shared" si="0"/>
        <v>0</v>
      </c>
      <c r="D28" s="14">
        <f t="shared" si="1"/>
        <v>0</v>
      </c>
      <c r="E28" s="110"/>
      <c r="F28" s="104"/>
      <c r="G28" s="103"/>
      <c r="H28" s="105" t="s">
        <v>20</v>
      </c>
      <c r="I28" s="106"/>
      <c r="J28" s="106"/>
      <c r="K28" s="107"/>
      <c r="L28" s="108"/>
      <c r="M28" s="108"/>
      <c r="N28" s="108"/>
      <c r="O28" s="109"/>
    </row>
    <row r="29" spans="1:15" s="6" customFormat="1" ht="27" customHeight="1">
      <c r="A29" s="13" t="e">
        <f>#REF!</f>
        <v>#REF!</v>
      </c>
      <c r="B29" s="12" t="e">
        <f>#REF!</f>
        <v>#REF!</v>
      </c>
      <c r="C29" s="12">
        <f t="shared" si="0"/>
        <v>0</v>
      </c>
      <c r="D29" s="14">
        <f t="shared" si="1"/>
        <v>0</v>
      </c>
      <c r="E29" s="110"/>
      <c r="F29" s="104"/>
      <c r="G29" s="103"/>
      <c r="H29" s="105" t="s">
        <v>20</v>
      </c>
      <c r="I29" s="106"/>
      <c r="J29" s="106"/>
      <c r="K29" s="107"/>
      <c r="L29" s="108"/>
      <c r="M29" s="108"/>
      <c r="N29" s="108"/>
      <c r="O29" s="109"/>
    </row>
    <row r="30" spans="1:15" s="6" customFormat="1" ht="34.200000000000003">
      <c r="A30" s="13" t="e">
        <f>#REF!</f>
        <v>#REF!</v>
      </c>
      <c r="B30" s="12" t="e">
        <f>#REF!</f>
        <v>#REF!</v>
      </c>
      <c r="C30" s="12">
        <f t="shared" si="0"/>
        <v>0</v>
      </c>
      <c r="D30" s="14">
        <f t="shared" si="1"/>
        <v>0</v>
      </c>
      <c r="E30" s="110"/>
      <c r="F30" s="422" t="s">
        <v>1114</v>
      </c>
      <c r="G30" s="422" t="s">
        <v>1055</v>
      </c>
      <c r="H30" s="105" t="s">
        <v>20</v>
      </c>
      <c r="I30" s="106"/>
      <c r="J30" s="106"/>
      <c r="K30" s="107"/>
      <c r="L30" s="108"/>
      <c r="M30" s="108"/>
      <c r="N30" s="108"/>
      <c r="O30" s="109"/>
    </row>
    <row r="31" spans="1:15" s="6" customFormat="1" ht="27" customHeight="1">
      <c r="A31" s="13" t="e">
        <f>#REF!</f>
        <v>#REF!</v>
      </c>
      <c r="B31" s="12" t="e">
        <f>#REF!</f>
        <v>#REF!</v>
      </c>
      <c r="C31" s="12">
        <f t="shared" si="0"/>
        <v>0</v>
      </c>
      <c r="D31" s="14">
        <f t="shared" si="1"/>
        <v>0</v>
      </c>
      <c r="E31" s="110"/>
      <c r="F31" s="104"/>
      <c r="G31" s="103"/>
      <c r="H31" s="105" t="s">
        <v>20</v>
      </c>
      <c r="I31" s="106"/>
      <c r="J31" s="106"/>
      <c r="K31" s="107"/>
      <c r="L31" s="108"/>
      <c r="M31" s="108"/>
      <c r="N31" s="108"/>
      <c r="O31" s="109"/>
    </row>
    <row r="32" spans="1:15" s="6" customFormat="1" ht="27" customHeight="1">
      <c r="A32" s="13" t="e">
        <f>#REF!</f>
        <v>#REF!</v>
      </c>
      <c r="B32" s="12" t="e">
        <f>#REF!</f>
        <v>#REF!</v>
      </c>
      <c r="C32" s="12">
        <f t="shared" si="0"/>
        <v>0</v>
      </c>
      <c r="D32" s="14">
        <f t="shared" si="1"/>
        <v>0</v>
      </c>
      <c r="E32" s="110"/>
      <c r="F32" s="104"/>
      <c r="G32" s="103"/>
      <c r="H32" s="105" t="s">
        <v>20</v>
      </c>
      <c r="I32" s="106"/>
      <c r="J32" s="106"/>
      <c r="K32" s="107"/>
      <c r="L32" s="108"/>
      <c r="M32" s="108"/>
      <c r="N32" s="108"/>
      <c r="O32" s="109"/>
    </row>
    <row r="33" spans="1:15" s="6" customFormat="1" ht="27" customHeight="1">
      <c r="A33" s="13" t="e">
        <f>#REF!</f>
        <v>#REF!</v>
      </c>
      <c r="B33" s="12" t="e">
        <f>#REF!</f>
        <v>#REF!</v>
      </c>
      <c r="C33" s="12">
        <f t="shared" si="0"/>
        <v>0</v>
      </c>
      <c r="D33" s="14">
        <f t="shared" si="1"/>
        <v>0</v>
      </c>
      <c r="E33" s="110"/>
      <c r="F33" s="104"/>
      <c r="G33" s="103"/>
      <c r="H33" s="105" t="s">
        <v>20</v>
      </c>
      <c r="I33" s="106"/>
      <c r="J33" s="106"/>
      <c r="K33" s="107"/>
      <c r="L33" s="108"/>
      <c r="M33" s="108"/>
      <c r="N33" s="108"/>
      <c r="O33" s="109"/>
    </row>
    <row r="34" spans="1:15" s="6" customFormat="1" ht="27" customHeight="1">
      <c r="A34" s="13" t="e">
        <f>#REF!</f>
        <v>#REF!</v>
      </c>
      <c r="B34" s="12" t="e">
        <f>#REF!</f>
        <v>#REF!</v>
      </c>
      <c r="C34" s="12">
        <f t="shared" si="0"/>
        <v>0</v>
      </c>
      <c r="D34" s="14">
        <f t="shared" si="1"/>
        <v>0</v>
      </c>
      <c r="E34" s="110"/>
      <c r="F34" s="104"/>
      <c r="G34" s="103"/>
      <c r="H34" s="105" t="s">
        <v>20</v>
      </c>
      <c r="I34" s="106"/>
      <c r="J34" s="106"/>
      <c r="K34" s="107"/>
      <c r="L34" s="108"/>
      <c r="M34" s="108"/>
      <c r="N34" s="108"/>
      <c r="O34" s="109"/>
    </row>
    <row r="35" spans="1:15" s="6" customFormat="1" ht="27" customHeight="1">
      <c r="A35" s="13" t="e">
        <f>#REF!</f>
        <v>#REF!</v>
      </c>
      <c r="B35" s="12" t="e">
        <f>#REF!</f>
        <v>#REF!</v>
      </c>
      <c r="C35" s="12">
        <f t="shared" si="0"/>
        <v>0</v>
      </c>
      <c r="D35" s="14">
        <f t="shared" si="1"/>
        <v>0</v>
      </c>
      <c r="E35" s="110"/>
      <c r="F35" s="104"/>
      <c r="G35" s="103"/>
      <c r="H35" s="105" t="s">
        <v>20</v>
      </c>
      <c r="I35" s="106"/>
      <c r="J35" s="106"/>
      <c r="K35" s="107"/>
      <c r="L35" s="108"/>
      <c r="M35" s="108"/>
      <c r="N35" s="108"/>
      <c r="O35" s="109"/>
    </row>
    <row r="36" spans="1:15" s="6" customFormat="1" ht="27" customHeight="1">
      <c r="A36" s="13" t="e">
        <f>#REF!</f>
        <v>#REF!</v>
      </c>
      <c r="B36" s="12" t="e">
        <f>#REF!</f>
        <v>#REF!</v>
      </c>
      <c r="C36" s="12">
        <f t="shared" si="0"/>
        <v>0</v>
      </c>
      <c r="D36" s="14">
        <f t="shared" si="1"/>
        <v>0</v>
      </c>
      <c r="E36" s="110"/>
      <c r="F36" s="104"/>
      <c r="G36" s="103"/>
      <c r="H36" s="105" t="s">
        <v>20</v>
      </c>
      <c r="I36" s="106"/>
      <c r="J36" s="106"/>
      <c r="K36" s="107"/>
      <c r="L36" s="108"/>
      <c r="M36" s="108"/>
      <c r="N36" s="108"/>
      <c r="O36" s="109"/>
    </row>
    <row r="37" spans="1:15" s="6" customFormat="1" ht="27" customHeight="1">
      <c r="A37" s="13" t="e">
        <f>#REF!</f>
        <v>#REF!</v>
      </c>
      <c r="B37" s="12" t="e">
        <f>#REF!</f>
        <v>#REF!</v>
      </c>
      <c r="C37" s="12">
        <f t="shared" si="0"/>
        <v>0</v>
      </c>
      <c r="D37" s="14">
        <f t="shared" si="1"/>
        <v>0</v>
      </c>
      <c r="E37" s="110"/>
      <c r="F37" s="104"/>
      <c r="G37" s="103"/>
      <c r="H37" s="105" t="s">
        <v>20</v>
      </c>
      <c r="I37" s="106"/>
      <c r="J37" s="106"/>
      <c r="K37" s="107"/>
      <c r="L37" s="108"/>
      <c r="M37" s="108"/>
      <c r="N37" s="108"/>
      <c r="O37" s="109"/>
    </row>
    <row r="38" spans="1:15" s="6" customFormat="1" ht="27" customHeight="1">
      <c r="A38" s="13" t="e">
        <f>#REF!</f>
        <v>#REF!</v>
      </c>
      <c r="B38" s="12" t="e">
        <f>#REF!</f>
        <v>#REF!</v>
      </c>
      <c r="C38" s="12">
        <f t="shared" si="0"/>
        <v>0</v>
      </c>
      <c r="D38" s="14">
        <f t="shared" si="1"/>
        <v>0</v>
      </c>
      <c r="E38" s="110"/>
      <c r="F38" s="104"/>
      <c r="G38" s="103"/>
      <c r="H38" s="105" t="s">
        <v>20</v>
      </c>
      <c r="I38" s="106"/>
      <c r="J38" s="106"/>
      <c r="K38" s="107"/>
      <c r="L38" s="108"/>
      <c r="M38" s="108"/>
      <c r="N38" s="108"/>
      <c r="O38" s="109"/>
    </row>
    <row r="39" spans="1:15" s="6" customFormat="1" ht="27" customHeight="1">
      <c r="A39" s="13" t="e">
        <f>#REF!</f>
        <v>#REF!</v>
      </c>
      <c r="B39" s="12" t="e">
        <f>#REF!</f>
        <v>#REF!</v>
      </c>
      <c r="C39" s="12">
        <f t="shared" si="0"/>
        <v>0</v>
      </c>
      <c r="D39" s="14">
        <f t="shared" si="1"/>
        <v>0</v>
      </c>
      <c r="E39" s="110"/>
      <c r="F39" s="104"/>
      <c r="G39" s="103"/>
      <c r="H39" s="105" t="s">
        <v>20</v>
      </c>
      <c r="I39" s="106"/>
      <c r="J39" s="106"/>
      <c r="K39" s="107"/>
      <c r="L39" s="108"/>
      <c r="M39" s="108"/>
      <c r="N39" s="108"/>
      <c r="O39" s="109"/>
    </row>
    <row r="40" spans="1:15" s="6" customFormat="1" ht="27" customHeight="1">
      <c r="A40" s="13"/>
      <c r="B40" s="12"/>
      <c r="C40" s="12"/>
      <c r="D40" s="14"/>
      <c r="E40" s="110"/>
      <c r="F40" s="104"/>
      <c r="G40" s="103"/>
      <c r="H40" s="105"/>
      <c r="I40" s="106"/>
      <c r="J40" s="107"/>
      <c r="K40" s="107"/>
      <c r="L40" s="108"/>
      <c r="M40" s="108"/>
      <c r="N40" s="108"/>
      <c r="O40" s="109"/>
    </row>
    <row r="41" spans="1:15" s="6" customFormat="1" ht="27" customHeight="1">
      <c r="A41" s="13"/>
      <c r="B41" s="12"/>
      <c r="C41" s="12"/>
      <c r="D41" s="14"/>
      <c r="E41" s="110"/>
      <c r="F41" s="104"/>
      <c r="G41" s="103"/>
      <c r="H41" s="105"/>
      <c r="I41" s="106"/>
      <c r="J41" s="107"/>
      <c r="K41" s="107"/>
      <c r="L41" s="108"/>
      <c r="M41" s="108"/>
      <c r="N41" s="108"/>
      <c r="O41" s="109"/>
    </row>
    <row r="42" spans="1:15" s="6" customFormat="1" ht="27" customHeight="1">
      <c r="A42" s="13"/>
      <c r="B42" s="12"/>
      <c r="C42" s="12"/>
      <c r="D42" s="14"/>
      <c r="E42" s="110"/>
      <c r="F42" s="104"/>
      <c r="G42" s="103"/>
      <c r="H42" s="105"/>
      <c r="I42" s="106"/>
      <c r="J42" s="107"/>
      <c r="K42" s="107"/>
      <c r="L42" s="108"/>
      <c r="M42" s="108"/>
      <c r="N42" s="108"/>
      <c r="O42" s="109"/>
    </row>
    <row r="43" spans="1:15" s="6" customFormat="1" ht="27" customHeight="1" thickBot="1">
      <c r="A43" s="83" t="e">
        <f>#REF!</f>
        <v>#REF!</v>
      </c>
      <c r="B43" s="84" t="e">
        <f>#REF!</f>
        <v>#REF!</v>
      </c>
      <c r="C43" s="84">
        <f t="shared" si="0"/>
        <v>0</v>
      </c>
      <c r="D43" s="85">
        <f t="shared" si="1"/>
        <v>0</v>
      </c>
      <c r="E43" s="111"/>
      <c r="F43" s="112"/>
      <c r="G43" s="118"/>
      <c r="H43" s="113" t="s">
        <v>20</v>
      </c>
      <c r="I43" s="114"/>
      <c r="J43" s="114"/>
      <c r="K43" s="115"/>
      <c r="L43" s="116"/>
      <c r="M43" s="116"/>
      <c r="N43" s="108"/>
      <c r="O43" s="117"/>
    </row>
    <row r="44" spans="1:15" s="6" customFormat="1" ht="27" customHeight="1" thickBot="1">
      <c r="A44" s="86" t="e">
        <f>#REF!</f>
        <v>#REF!</v>
      </c>
      <c r="B44" s="87" t="e">
        <f>#REF!</f>
        <v>#REF!</v>
      </c>
      <c r="C44" s="87">
        <f t="shared" si="0"/>
        <v>0</v>
      </c>
      <c r="D44" s="88">
        <f t="shared" si="1"/>
        <v>0</v>
      </c>
      <c r="E44" s="71"/>
      <c r="F44" s="73" t="s">
        <v>46</v>
      </c>
      <c r="G44" s="66"/>
      <c r="H44" s="66"/>
      <c r="I44" s="66"/>
      <c r="J44" s="72"/>
      <c r="K44" s="72"/>
      <c r="L44" s="66"/>
      <c r="M44" s="66"/>
      <c r="N44" s="66"/>
      <c r="O44" s="66"/>
    </row>
    <row r="45" spans="1:15" ht="22.5" customHeight="1"/>
  </sheetData>
  <sheetProtection formatCells="0" formatColumns="0" formatRows="0" insertRows="0" insertHyperlinks="0" deleteRows="0" sort="0" autoFilter="0" pivotTables="0"/>
  <mergeCells count="19">
    <mergeCell ref="H5:I6"/>
    <mergeCell ref="L5:O5"/>
    <mergeCell ref="L6:O6"/>
    <mergeCell ref="G2:I2"/>
    <mergeCell ref="L2:O2"/>
    <mergeCell ref="G3:I4"/>
    <mergeCell ref="L3:O3"/>
    <mergeCell ref="L4:O4"/>
    <mergeCell ref="G12:G13"/>
    <mergeCell ref="H7:I8"/>
    <mergeCell ref="L7:O7"/>
    <mergeCell ref="E11:F11"/>
    <mergeCell ref="H11:H13"/>
    <mergeCell ref="I11:I13"/>
    <mergeCell ref="J11:J13"/>
    <mergeCell ref="K11:K13"/>
    <mergeCell ref="L11:N11"/>
    <mergeCell ref="O11:O13"/>
    <mergeCell ref="E12:F12"/>
  </mergeCells>
  <dataValidations count="1">
    <dataValidation type="list" allowBlank="1" showInputMessage="1" showErrorMessage="1" sqref="O14:O38" xr:uid="{097D9D6B-1FD8-4826-A38F-CFA7B74C1B83}">
      <formula1>"Pass,Failed"</formula1>
    </dataValidation>
  </dataValidations>
  <pageMargins left="0.7" right="0.7" top="0.75" bottom="0.75" header="0.3" footer="0.3"/>
  <pageSetup paperSize="9" orientation="portrait" r:id="rId1"/>
  <headerFooter>
    <oddHeader>&amp;L&amp;G</oddHeader>
    <oddFooter>&amp;LTemplate ID: TP_TE_TestCase_V.2.0.0
Copyright&amp;RFile Name: &amp;F
Page: &amp;P/&amp;N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5873" r:id="rId5" name="Button 1">
              <controlPr defaultSize="0" print="0" autoFill="0" autoPict="0" macro="[0]!Home">
                <anchor moveWithCells="1" sizeWithCells="1">
                  <from>
                    <xdr:col>6</xdr:col>
                    <xdr:colOff>381000</xdr:colOff>
                    <xdr:row>8</xdr:row>
                    <xdr:rowOff>236220</xdr:rowOff>
                  </from>
                  <to>
                    <xdr:col>6</xdr:col>
                    <xdr:colOff>1219200</xdr:colOff>
                    <xdr:row>9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Cover</vt:lpstr>
      <vt:lpstr>Document History</vt:lpstr>
      <vt:lpstr>Example</vt:lpstr>
      <vt:lpstr>Test Case</vt:lpstr>
      <vt:lpstr>Test Script Template</vt:lpstr>
      <vt:lpstr>TestStatusSummary</vt:lpstr>
      <vt:lpstr>Process</vt:lpstr>
      <vt:lpstr>ED_PRC_TC_00001</vt:lpstr>
      <vt:lpstr>ED_PRC_TC_00002</vt:lpstr>
      <vt:lpstr>ED_PRC_TC_00003</vt:lpstr>
      <vt:lpstr>ED_PRC_TC_00004</vt:lpstr>
      <vt:lpstr>ED_PRC_TC_00005</vt:lpstr>
      <vt:lpstr>ED_PRC_TC_00006</vt:lpstr>
      <vt:lpstr>ED_PRC_TC_00007</vt:lpstr>
      <vt:lpstr>ED_PRC_TC_00008</vt:lpstr>
      <vt:lpstr>ED_PRC_TC_00009</vt:lpstr>
      <vt:lpstr>ED_PRC_TC_00010</vt:lpstr>
      <vt:lpstr>ED_PRC_TC_00011</vt:lpstr>
      <vt:lpstr>ED_PRC_TC_00012</vt:lpstr>
    </vt:vector>
  </TitlesOfParts>
  <Company>kbank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walailug.t</dc:creator>
  <cp:lastModifiedBy>iPassion04</cp:lastModifiedBy>
  <cp:lastPrinted>2016-01-12T07:40:40Z</cp:lastPrinted>
  <dcterms:created xsi:type="dcterms:W3CDTF">2007-07-16T06:54:21Z</dcterms:created>
  <dcterms:modified xsi:type="dcterms:W3CDTF">2018-08-28T10:41:25Z</dcterms:modified>
</cp:coreProperties>
</file>